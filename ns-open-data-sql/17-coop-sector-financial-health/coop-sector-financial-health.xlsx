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ata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report_year</t>
        </is>
      </c>
      <c r="B1" s="1" t="inlineStr">
        <is>
          <t>co_ops_reporting</t>
        </is>
      </c>
      <c r="C1" s="1" t="inlineStr">
        <is>
          <t>total_income</t>
        </is>
      </c>
      <c r="D1" s="1" t="inlineStr">
        <is>
          <t>total_expenses</t>
        </is>
      </c>
      <c r="E1" s="1" t="inlineStr">
        <is>
          <t>net_income</t>
        </is>
      </c>
      <c r="F1" s="1" t="inlineStr">
        <is>
          <t>total_assets</t>
        </is>
      </c>
      <c r="G1" s="1" t="inlineStr">
        <is>
          <t>total_liability</t>
        </is>
      </c>
      <c r="H1" s="1" t="inlineStr">
        <is>
          <t>total_equity</t>
        </is>
      </c>
      <c r="I1" s="1" t="inlineStr">
        <is>
          <t>full_time_employees</t>
        </is>
      </c>
      <c r="J1" s="1" t="inlineStr">
        <is>
          <t>part_time_employees</t>
        </is>
      </c>
      <c r="K1" s="1" t="inlineStr">
        <is>
          <t>total_employees</t>
        </is>
      </c>
      <c r="L1" s="1" t="inlineStr">
        <is>
          <t>total_members</t>
        </is>
      </c>
    </row>
    <row r="2">
      <c r="A2" t="n">
        <v>2015</v>
      </c>
      <c r="B2" s="2" t="n">
        <v>303</v>
      </c>
      <c r="C2" s="2" t="n">
        <v>367161018</v>
      </c>
      <c r="D2" s="2" t="n">
        <v>367742166</v>
      </c>
      <c r="E2" s="2" t="n">
        <v>-581148</v>
      </c>
      <c r="F2" s="2" t="n">
        <v>273449067</v>
      </c>
      <c r="G2" s="2" t="n">
        <v>158965531</v>
      </c>
      <c r="H2" s="2" t="n">
        <v>114483534</v>
      </c>
      <c r="I2" s="2" t="n">
        <v>888</v>
      </c>
      <c r="J2" s="2" t="n">
        <v>951</v>
      </c>
      <c r="K2" s="2" t="n">
        <v>1839</v>
      </c>
      <c r="L2" s="2" t="n">
        <v>45726</v>
      </c>
    </row>
    <row r="3">
      <c r="A3" t="n">
        <v>2016</v>
      </c>
      <c r="B3" s="2" t="n">
        <v>302</v>
      </c>
      <c r="C3" s="2" t="n">
        <v>428879455</v>
      </c>
      <c r="D3" s="2" t="n">
        <v>439069324</v>
      </c>
      <c r="E3" s="2" t="n">
        <v>-10189869</v>
      </c>
      <c r="F3" s="2" t="n">
        <v>255954629</v>
      </c>
      <c r="G3" s="2" t="n">
        <v>156078953</v>
      </c>
      <c r="H3" s="2" t="n">
        <v>99875675</v>
      </c>
      <c r="I3" s="2" t="n">
        <v>916</v>
      </c>
      <c r="J3" s="2" t="n">
        <v>745</v>
      </c>
      <c r="K3" s="2" t="n">
        <v>1661</v>
      </c>
      <c r="L3" s="2" t="n">
        <v>41588</v>
      </c>
    </row>
    <row r="4">
      <c r="A4" t="n">
        <v>2017</v>
      </c>
      <c r="B4" s="2" t="n">
        <v>300</v>
      </c>
      <c r="C4" s="2" t="n">
        <v>279434336</v>
      </c>
      <c r="D4" s="2" t="n">
        <v>275343527</v>
      </c>
      <c r="E4" s="2" t="n">
        <v>4090809</v>
      </c>
      <c r="F4" s="2" t="n">
        <v>166898915</v>
      </c>
      <c r="G4" s="2" t="n">
        <v>97358671</v>
      </c>
      <c r="H4" s="2" t="n">
        <v>69540246</v>
      </c>
      <c r="I4" s="2" t="n">
        <v>674</v>
      </c>
      <c r="J4" s="2" t="n">
        <v>782</v>
      </c>
      <c r="K4" s="2" t="n">
        <v>1456</v>
      </c>
      <c r="L4" s="2" t="n">
        <v>42218</v>
      </c>
    </row>
    <row r="5">
      <c r="A5" t="n">
        <v>2018</v>
      </c>
      <c r="B5" s="2" t="n">
        <v>299</v>
      </c>
      <c r="C5" s="2" t="n">
        <v>350991616</v>
      </c>
      <c r="D5" s="2" t="n">
        <v>329021557</v>
      </c>
      <c r="E5" s="2" t="n">
        <v>21970059</v>
      </c>
      <c r="F5" s="2" t="n">
        <v>184721435</v>
      </c>
      <c r="G5" s="2" t="n">
        <v>98974460</v>
      </c>
      <c r="H5" s="2" t="n">
        <v>85746976</v>
      </c>
      <c r="I5" s="2" t="n">
        <v>657</v>
      </c>
      <c r="J5" s="2" t="n">
        <v>646</v>
      </c>
      <c r="K5" s="2" t="n">
        <v>1303</v>
      </c>
      <c r="L5" s="2" t="n">
        <v>42769</v>
      </c>
    </row>
    <row r="6">
      <c r="A6" t="n">
        <v>2019</v>
      </c>
      <c r="B6" s="2" t="n">
        <v>283</v>
      </c>
      <c r="C6" s="2" t="n">
        <v>332280383</v>
      </c>
      <c r="D6" s="2" t="n">
        <v>325261196</v>
      </c>
      <c r="E6" s="2" t="n">
        <v>7019187</v>
      </c>
      <c r="F6" s="2" t="n">
        <v>168112007</v>
      </c>
      <c r="G6" s="2" t="n">
        <v>86546669</v>
      </c>
      <c r="H6" s="2" t="n">
        <v>81565335</v>
      </c>
      <c r="I6" s="2" t="n">
        <v>747</v>
      </c>
      <c r="J6" s="2" t="n">
        <v>568</v>
      </c>
      <c r="K6" s="2" t="n">
        <v>1315</v>
      </c>
      <c r="L6" s="2" t="n">
        <v>37317</v>
      </c>
    </row>
    <row r="7">
      <c r="A7" t="n">
        <v>2020</v>
      </c>
      <c r="B7" s="2" t="n">
        <v>269</v>
      </c>
      <c r="C7" s="2" t="n">
        <v>303121690</v>
      </c>
      <c r="D7" s="2" t="n">
        <v>293311249</v>
      </c>
      <c r="E7" s="2" t="n">
        <v>9810440</v>
      </c>
      <c r="F7" s="2" t="n">
        <v>166825644</v>
      </c>
      <c r="G7" s="2" t="n">
        <v>82829067</v>
      </c>
      <c r="H7" s="2" t="n">
        <v>84042252</v>
      </c>
      <c r="I7" s="2" t="n">
        <v>852</v>
      </c>
      <c r="J7" s="2" t="n">
        <v>565</v>
      </c>
      <c r="K7" s="2" t="n">
        <v>1417</v>
      </c>
      <c r="L7" s="2" t="n">
        <v>41907</v>
      </c>
    </row>
    <row r="8">
      <c r="A8" t="n">
        <v>2021</v>
      </c>
      <c r="B8" s="2" t="n">
        <v>259</v>
      </c>
      <c r="C8" s="2" t="n">
        <v>308419823</v>
      </c>
      <c r="D8" s="2" t="n">
        <v>294010202</v>
      </c>
      <c r="E8" s="2" t="n">
        <v>14409622</v>
      </c>
      <c r="F8" s="2" t="n">
        <v>184597862</v>
      </c>
      <c r="G8" s="2" t="n">
        <v>86243125</v>
      </c>
      <c r="H8" s="2" t="n">
        <v>98354734</v>
      </c>
      <c r="I8" s="2" t="n">
        <v>722</v>
      </c>
      <c r="J8" s="2" t="n">
        <v>656</v>
      </c>
      <c r="K8" s="2" t="n">
        <v>1378</v>
      </c>
      <c r="L8" s="2" t="n">
        <v>40715</v>
      </c>
    </row>
    <row r="9">
      <c r="A9" t="n">
        <v>2022</v>
      </c>
      <c r="B9" s="2" t="n">
        <v>248</v>
      </c>
      <c r="C9" s="2" t="n">
        <v>297479335</v>
      </c>
      <c r="D9" s="2" t="n">
        <v>289930809</v>
      </c>
      <c r="E9" s="2" t="n">
        <v>7548526</v>
      </c>
      <c r="F9" s="2" t="n">
        <v>191056476</v>
      </c>
      <c r="G9" s="2" t="n">
        <v>88733679</v>
      </c>
      <c r="H9" s="2" t="n">
        <v>102322798</v>
      </c>
      <c r="I9" s="2" t="n">
        <v>762</v>
      </c>
      <c r="J9" s="2" t="n">
        <v>591</v>
      </c>
      <c r="K9" s="2" t="n">
        <v>1353</v>
      </c>
      <c r="L9" s="2" t="n">
        <v>39101</v>
      </c>
    </row>
    <row r="10">
      <c r="A10" t="n">
        <v>2023</v>
      </c>
      <c r="B10" s="2" t="n">
        <v>245</v>
      </c>
      <c r="C10" s="2" t="n">
        <v>333850260</v>
      </c>
      <c r="D10" s="2" t="n">
        <v>327105167</v>
      </c>
      <c r="E10" s="2" t="n">
        <v>6745093</v>
      </c>
      <c r="F10" s="2" t="n">
        <v>238566093</v>
      </c>
      <c r="G10" s="2" t="n">
        <v>135069297</v>
      </c>
      <c r="H10" s="2" t="n">
        <v>103496799</v>
      </c>
      <c r="I10" s="2" t="n">
        <v>862</v>
      </c>
      <c r="J10" s="2" t="n">
        <v>586</v>
      </c>
      <c r="K10" s="2" t="n">
        <v>1448</v>
      </c>
      <c r="L10" s="2" t="n">
        <v>43349</v>
      </c>
    </row>
    <row r="11">
      <c r="A11" t="n">
        <v>2024</v>
      </c>
      <c r="B11" s="2" t="n">
        <v>226</v>
      </c>
      <c r="C11" s="2" t="n">
        <v>334126998</v>
      </c>
      <c r="D11" s="2" t="n">
        <v>328789797</v>
      </c>
      <c r="E11" s="2" t="n">
        <v>5337201</v>
      </c>
      <c r="F11" s="2" t="n">
        <v>268476908</v>
      </c>
      <c r="G11" s="2" t="n">
        <v>163131045</v>
      </c>
      <c r="H11" s="2" t="n">
        <v>105345863</v>
      </c>
      <c r="I11" s="2" t="n">
        <v>790</v>
      </c>
      <c r="J11" s="2" t="n">
        <v>546</v>
      </c>
      <c r="K11" s="2" t="n">
        <v>1336</v>
      </c>
      <c r="L11" s="2" t="n">
        <v>40740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3" t="inlineStr">
        <is>
          <t>Co-op sector financial health</t>
        </is>
      </c>
    </row>
    <row r="2">
      <c r="A2" s="4" t="inlineStr">
        <is>
          <t>Nova Scotia Co-operatives Financial and Operating Summary, report years 2015 to 2024. Ratios cover the co-ops that reported each year.</t>
        </is>
      </c>
    </row>
    <row r="4">
      <c r="A4" s="1" t="inlineStr">
        <is>
          <t>Year</t>
        </is>
      </c>
      <c r="B4" s="1" t="inlineStr">
        <is>
          <t>Total income ($)</t>
        </is>
      </c>
      <c r="C4" s="1" t="inlineStr">
        <is>
          <t>Total expenses ($)</t>
        </is>
      </c>
      <c r="D4" s="1" t="inlineStr">
        <is>
          <t>Net income ($)</t>
        </is>
      </c>
      <c r="E4" s="1" t="inlineStr">
        <is>
          <t>Operating margin (%)</t>
        </is>
      </c>
      <c r="F4" s="1" t="inlineStr">
        <is>
          <t>Margin YoY</t>
        </is>
      </c>
      <c r="G4" s="1" t="inlineStr">
        <is>
          <t>Equity ratio (%)</t>
        </is>
      </c>
      <c r="H4" s="1" t="inlineStr">
        <is>
          <t>Equity YoY</t>
        </is>
      </c>
      <c r="I4" s="1" t="inlineStr">
        <is>
          <t>Solvency (assets / liabilities)</t>
        </is>
      </c>
      <c r="J4" s="1" t="inlineStr">
        <is>
          <t>Employees per reporting co-op</t>
        </is>
      </c>
      <c r="K4" s="1" t="inlineStr">
        <is>
          <t>Employees YoY</t>
        </is>
      </c>
    </row>
    <row r="5">
      <c r="A5">
        <f>Data!A2</f>
        <v/>
      </c>
      <c r="B5" s="2">
        <f>Data!C2</f>
        <v/>
      </c>
      <c r="C5" s="2">
        <f>Data!D2</f>
        <v/>
      </c>
      <c r="D5" s="2">
        <f>Data!E2</f>
        <v/>
      </c>
      <c r="E5" s="5">
        <f>ROUND(Data!E2/Data!C2*100,2)</f>
        <v/>
      </c>
      <c r="F5" t="inlineStr">
        <is>
          <t>n/a</t>
        </is>
      </c>
      <c r="G5" s="5">
        <f>ROUND(Data!H2/Data!F2*100,2)</f>
        <v/>
      </c>
      <c r="H5" t="inlineStr">
        <is>
          <t>n/a</t>
        </is>
      </c>
      <c r="I5" s="5">
        <f>ROUND(Data!F2/Data!G2,2)</f>
        <v/>
      </c>
      <c r="J5" s="5">
        <f>ROUND(Data!K2/Data!B2,2)</f>
        <v/>
      </c>
      <c r="K5" t="inlineStr">
        <is>
          <t>n/a</t>
        </is>
      </c>
    </row>
    <row r="6">
      <c r="A6">
        <f>Data!A3</f>
        <v/>
      </c>
      <c r="B6" s="2">
        <f>Data!C3</f>
        <v/>
      </c>
      <c r="C6" s="2">
        <f>Data!D3</f>
        <v/>
      </c>
      <c r="D6" s="2">
        <f>Data!E3</f>
        <v/>
      </c>
      <c r="E6" s="5">
        <f>ROUND(Data!E3/Data!C3*100,2)</f>
        <v/>
      </c>
      <c r="F6">
        <f>IF(E6&gt;E5,"up",IF(E6&lt;E5,"down","flat"))</f>
        <v/>
      </c>
      <c r="G6" s="5">
        <f>ROUND(Data!H3/Data!F3*100,2)</f>
        <v/>
      </c>
      <c r="H6">
        <f>IF(G6&gt;G5,"up",IF(G6&lt;G5,"down","flat"))</f>
        <v/>
      </c>
      <c r="I6" s="5">
        <f>ROUND(Data!F3/Data!G3,2)</f>
        <v/>
      </c>
      <c r="J6" s="5">
        <f>ROUND(Data!K3/Data!B3,2)</f>
        <v/>
      </c>
      <c r="K6">
        <f>IF(J6&gt;J5,"up",IF(J6&lt;J5,"down","flat"))</f>
        <v/>
      </c>
    </row>
    <row r="7">
      <c r="A7">
        <f>Data!A4</f>
        <v/>
      </c>
      <c r="B7" s="2">
        <f>Data!C4</f>
        <v/>
      </c>
      <c r="C7" s="2">
        <f>Data!D4</f>
        <v/>
      </c>
      <c r="D7" s="2">
        <f>Data!E4</f>
        <v/>
      </c>
      <c r="E7" s="5">
        <f>ROUND(Data!E4/Data!C4*100,2)</f>
        <v/>
      </c>
      <c r="F7">
        <f>IF(E7&gt;E6,"up",IF(E7&lt;E6,"down","flat"))</f>
        <v/>
      </c>
      <c r="G7" s="5">
        <f>ROUND(Data!H4/Data!F4*100,2)</f>
        <v/>
      </c>
      <c r="H7">
        <f>IF(G7&gt;G6,"up",IF(G7&lt;G6,"down","flat"))</f>
        <v/>
      </c>
      <c r="I7" s="5">
        <f>ROUND(Data!F4/Data!G4,2)</f>
        <v/>
      </c>
      <c r="J7" s="5">
        <f>ROUND(Data!K4/Data!B4,2)</f>
        <v/>
      </c>
      <c r="K7">
        <f>IF(J7&gt;J6,"up",IF(J7&lt;J6,"down","flat"))</f>
        <v/>
      </c>
    </row>
    <row r="8">
      <c r="A8">
        <f>Data!A5</f>
        <v/>
      </c>
      <c r="B8" s="2">
        <f>Data!C5</f>
        <v/>
      </c>
      <c r="C8" s="2">
        <f>Data!D5</f>
        <v/>
      </c>
      <c r="D8" s="2">
        <f>Data!E5</f>
        <v/>
      </c>
      <c r="E8" s="5">
        <f>ROUND(Data!E5/Data!C5*100,2)</f>
        <v/>
      </c>
      <c r="F8">
        <f>IF(E8&gt;E7,"up",IF(E8&lt;E7,"down","flat"))</f>
        <v/>
      </c>
      <c r="G8" s="5">
        <f>ROUND(Data!H5/Data!F5*100,2)</f>
        <v/>
      </c>
      <c r="H8">
        <f>IF(G8&gt;G7,"up",IF(G8&lt;G7,"down","flat"))</f>
        <v/>
      </c>
      <c r="I8" s="5">
        <f>ROUND(Data!F5/Data!G5,2)</f>
        <v/>
      </c>
      <c r="J8" s="5">
        <f>ROUND(Data!K5/Data!B5,2)</f>
        <v/>
      </c>
      <c r="K8">
        <f>IF(J8&gt;J7,"up",IF(J8&lt;J7,"down","flat"))</f>
        <v/>
      </c>
    </row>
    <row r="9">
      <c r="A9">
        <f>Data!A6</f>
        <v/>
      </c>
      <c r="B9" s="2">
        <f>Data!C6</f>
        <v/>
      </c>
      <c r="C9" s="2">
        <f>Data!D6</f>
        <v/>
      </c>
      <c r="D9" s="2">
        <f>Data!E6</f>
        <v/>
      </c>
      <c r="E9" s="5">
        <f>ROUND(Data!E6/Data!C6*100,2)</f>
        <v/>
      </c>
      <c r="F9">
        <f>IF(E9&gt;E8,"up",IF(E9&lt;E8,"down","flat"))</f>
        <v/>
      </c>
      <c r="G9" s="5">
        <f>ROUND(Data!H6/Data!F6*100,2)</f>
        <v/>
      </c>
      <c r="H9">
        <f>IF(G9&gt;G8,"up",IF(G9&lt;G8,"down","flat"))</f>
        <v/>
      </c>
      <c r="I9" s="5">
        <f>ROUND(Data!F6/Data!G6,2)</f>
        <v/>
      </c>
      <c r="J9" s="5">
        <f>ROUND(Data!K6/Data!B6,2)</f>
        <v/>
      </c>
      <c r="K9">
        <f>IF(J9&gt;J8,"up",IF(J9&lt;J8,"down","flat"))</f>
        <v/>
      </c>
    </row>
    <row r="10">
      <c r="A10">
        <f>Data!A7</f>
        <v/>
      </c>
      <c r="B10" s="2">
        <f>Data!C7</f>
        <v/>
      </c>
      <c r="C10" s="2">
        <f>Data!D7</f>
        <v/>
      </c>
      <c r="D10" s="2">
        <f>Data!E7</f>
        <v/>
      </c>
      <c r="E10" s="5">
        <f>ROUND(Data!E7/Data!C7*100,2)</f>
        <v/>
      </c>
      <c r="F10">
        <f>IF(E10&gt;E9,"up",IF(E10&lt;E9,"down","flat"))</f>
        <v/>
      </c>
      <c r="G10" s="5">
        <f>ROUND(Data!H7/Data!F7*100,2)</f>
        <v/>
      </c>
      <c r="H10">
        <f>IF(G10&gt;G9,"up",IF(G10&lt;G9,"down","flat"))</f>
        <v/>
      </c>
      <c r="I10" s="5">
        <f>ROUND(Data!F7/Data!G7,2)</f>
        <v/>
      </c>
      <c r="J10" s="5">
        <f>ROUND(Data!K7/Data!B7,2)</f>
        <v/>
      </c>
      <c r="K10">
        <f>IF(J10&gt;J9,"up",IF(J10&lt;J9,"down","flat"))</f>
        <v/>
      </c>
    </row>
    <row r="11">
      <c r="A11">
        <f>Data!A8</f>
        <v/>
      </c>
      <c r="B11" s="2">
        <f>Data!C8</f>
        <v/>
      </c>
      <c r="C11" s="2">
        <f>Data!D8</f>
        <v/>
      </c>
      <c r="D11" s="2">
        <f>Data!E8</f>
        <v/>
      </c>
      <c r="E11" s="5">
        <f>ROUND(Data!E8/Data!C8*100,2)</f>
        <v/>
      </c>
      <c r="F11">
        <f>IF(E11&gt;E10,"up",IF(E11&lt;E10,"down","flat"))</f>
        <v/>
      </c>
      <c r="G11" s="5">
        <f>ROUND(Data!H8/Data!F8*100,2)</f>
        <v/>
      </c>
      <c r="H11">
        <f>IF(G11&gt;G10,"up",IF(G11&lt;G10,"down","flat"))</f>
        <v/>
      </c>
      <c r="I11" s="5">
        <f>ROUND(Data!F8/Data!G8,2)</f>
        <v/>
      </c>
      <c r="J11" s="5">
        <f>ROUND(Data!K8/Data!B8,2)</f>
        <v/>
      </c>
      <c r="K11">
        <f>IF(J11&gt;J10,"up",IF(J11&lt;J10,"down","flat"))</f>
        <v/>
      </c>
    </row>
    <row r="12">
      <c r="A12">
        <f>Data!A9</f>
        <v/>
      </c>
      <c r="B12" s="2">
        <f>Data!C9</f>
        <v/>
      </c>
      <c r="C12" s="2">
        <f>Data!D9</f>
        <v/>
      </c>
      <c r="D12" s="2">
        <f>Data!E9</f>
        <v/>
      </c>
      <c r="E12" s="5">
        <f>ROUND(Data!E9/Data!C9*100,2)</f>
        <v/>
      </c>
      <c r="F12">
        <f>IF(E12&gt;E11,"up",IF(E12&lt;E11,"down","flat"))</f>
        <v/>
      </c>
      <c r="G12" s="5">
        <f>ROUND(Data!H9/Data!F9*100,2)</f>
        <v/>
      </c>
      <c r="H12">
        <f>IF(G12&gt;G11,"up",IF(G12&lt;G11,"down","flat"))</f>
        <v/>
      </c>
      <c r="I12" s="5">
        <f>ROUND(Data!F9/Data!G9,2)</f>
        <v/>
      </c>
      <c r="J12" s="5">
        <f>ROUND(Data!K9/Data!B9,2)</f>
        <v/>
      </c>
      <c r="K12">
        <f>IF(J12&gt;J11,"up",IF(J12&lt;J11,"down","flat"))</f>
        <v/>
      </c>
    </row>
    <row r="13">
      <c r="A13">
        <f>Data!A10</f>
        <v/>
      </c>
      <c r="B13" s="2">
        <f>Data!C10</f>
        <v/>
      </c>
      <c r="C13" s="2">
        <f>Data!D10</f>
        <v/>
      </c>
      <c r="D13" s="2">
        <f>Data!E10</f>
        <v/>
      </c>
      <c r="E13" s="5">
        <f>ROUND(Data!E10/Data!C10*100,2)</f>
        <v/>
      </c>
      <c r="F13">
        <f>IF(E13&gt;E12,"up",IF(E13&lt;E12,"down","flat"))</f>
        <v/>
      </c>
      <c r="G13" s="5">
        <f>ROUND(Data!H10/Data!F10*100,2)</f>
        <v/>
      </c>
      <c r="H13">
        <f>IF(G13&gt;G12,"up",IF(G13&lt;G12,"down","flat"))</f>
        <v/>
      </c>
      <c r="I13" s="5">
        <f>ROUND(Data!F10/Data!G10,2)</f>
        <v/>
      </c>
      <c r="J13" s="5">
        <f>ROUND(Data!K10/Data!B10,2)</f>
        <v/>
      </c>
      <c r="K13">
        <f>IF(J13&gt;J12,"up",IF(J13&lt;J12,"down","flat"))</f>
        <v/>
      </c>
    </row>
    <row r="14">
      <c r="A14">
        <f>Data!A11</f>
        <v/>
      </c>
      <c r="B14" s="2">
        <f>Data!C11</f>
        <v/>
      </c>
      <c r="C14" s="2">
        <f>Data!D11</f>
        <v/>
      </c>
      <c r="D14" s="2">
        <f>Data!E11</f>
        <v/>
      </c>
      <c r="E14" s="5">
        <f>ROUND(Data!E11/Data!C11*100,2)</f>
        <v/>
      </c>
      <c r="F14">
        <f>IF(E14&gt;E13,"up",IF(E14&lt;E13,"down","flat"))</f>
        <v/>
      </c>
      <c r="G14" s="5">
        <f>ROUND(Data!H11/Data!F11*100,2)</f>
        <v/>
      </c>
      <c r="H14">
        <f>IF(G14&gt;G13,"up",IF(G14&lt;G13,"down","flat"))</f>
        <v/>
      </c>
      <c r="I14" s="5">
        <f>ROUND(Data!F11/Data!G11,2)</f>
        <v/>
      </c>
      <c r="J14" s="5">
        <f>ROUND(Data!K11/Data!B11,2)</f>
        <v/>
      </c>
      <c r="K14">
        <f>IF(J14&gt;J13,"up",IF(J14&lt;J13,"down","flat"))</f>
        <v/>
      </c>
    </row>
    <row r="16">
      <c r="A16" s="1" t="inlineStr">
        <is>
          <t>Sector totals, 2015 to 2024</t>
        </is>
      </c>
    </row>
    <row r="17">
      <c r="A17" t="inlineStr">
        <is>
          <t>Total income ($)</t>
        </is>
      </c>
      <c r="B17" s="2">
        <f>SUM(Data!C2:C11)</f>
        <v/>
      </c>
    </row>
    <row r="18">
      <c r="A18" t="inlineStr">
        <is>
          <t>Total expenses ($)</t>
        </is>
      </c>
      <c r="B18" s="2">
        <f>SUM(Data!D2:D11)</f>
        <v/>
      </c>
    </row>
    <row r="19">
      <c r="A19" t="inlineStr">
        <is>
          <t>Total net income ($)</t>
        </is>
      </c>
      <c r="B19" s="2">
        <f>SUM(Data!E2:E11)</f>
        <v/>
      </c>
    </row>
    <row r="20">
      <c r="A20" t="inlineStr">
        <is>
          <t>Overall operating margin (%)</t>
        </is>
      </c>
      <c r="B20" s="5">
        <f>ROUND(SUM(Data!E2:E11)/SUM(Data!C2:C11)*100,2)</f>
        <v/>
      </c>
    </row>
    <row r="22">
      <c r="A22" s="1" t="inlineStr">
        <is>
          <t>Headline</t>
        </is>
      </c>
    </row>
    <row r="23">
      <c r="A23" t="inlineStr">
        <is>
          <t>Latest report year</t>
        </is>
      </c>
      <c r="B23">
        <f>A14</f>
        <v/>
      </c>
    </row>
    <row r="24">
      <c r="A24" t="inlineStr">
        <is>
          <t>Operating margin (%)</t>
        </is>
      </c>
      <c r="B24" s="5">
        <f>E14</f>
        <v/>
      </c>
    </row>
    <row r="25">
      <c r="A25" t="inlineStr">
        <is>
          <t>Margin direction</t>
        </is>
      </c>
      <c r="B25">
        <f>F14</f>
        <v/>
      </c>
    </row>
    <row r="26">
      <c r="A26" t="inlineStr">
        <is>
          <t>Equity ratio (%)</t>
        </is>
      </c>
      <c r="B26" s="5">
        <f>G14</f>
        <v/>
      </c>
    </row>
    <row r="27">
      <c r="A27" t="inlineStr">
        <is>
          <t>Equity ratio direction</t>
        </is>
      </c>
      <c r="B27">
        <f>H14</f>
        <v/>
      </c>
    </row>
    <row r="28">
      <c r="A28" t="inlineStr">
        <is>
          <t>Solvency (assets / liabilities)</t>
        </is>
      </c>
      <c r="B28" s="5">
        <f>I14</f>
        <v/>
      </c>
    </row>
    <row r="29">
      <c r="A29" t="inlineStr">
        <is>
          <t>Employees per reporting co-op</t>
        </is>
      </c>
      <c r="B29" s="5">
        <f>J14</f>
        <v/>
      </c>
    </row>
    <row r="30">
      <c r="A30" t="inlineStr">
        <is>
          <t>Employees direction</t>
        </is>
      </c>
      <c r="B30">
        <f>K14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2026-07-21T19:22:42Z</dcterms:created>
  <dcterms:modified xsi:type="dcterms:W3CDTF">2026-07-21T19:22:42Z</dcterms:modified>
</cp:coreProperties>
</file>