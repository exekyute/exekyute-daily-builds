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fiscal_year</t>
        </is>
      </c>
      <c r="B1" s="1" t="inlineStr">
        <is>
          <t>services_rendered</t>
        </is>
      </c>
      <c r="C1" s="1" t="inlineStr">
        <is>
          <t>amount_paid</t>
        </is>
      </c>
      <c r="D1" s="1" t="inlineStr">
        <is>
          <t>persons_insured</t>
        </is>
      </c>
      <c r="E1" s="1" t="inlineStr">
        <is>
          <t>beneficiaries</t>
        </is>
      </c>
    </row>
    <row r="2">
      <c r="A2" t="inlineStr">
        <is>
          <t>2008-2009</t>
        </is>
      </c>
      <c r="B2" t="n">
        <v>166985</v>
      </c>
      <c r="C2" s="2" t="n">
        <v>3862361</v>
      </c>
      <c r="D2" s="2" t="n">
        <v>84400</v>
      </c>
      <c r="E2" s="2" t="n">
        <v>38669</v>
      </c>
    </row>
    <row r="3">
      <c r="A3" t="inlineStr">
        <is>
          <t>2009-2010</t>
        </is>
      </c>
      <c r="B3" t="n">
        <v>162460</v>
      </c>
      <c r="C3" s="2" t="n">
        <v>3892382</v>
      </c>
      <c r="D3" s="2" t="n">
        <v>89260</v>
      </c>
      <c r="E3" s="2" t="n">
        <v>38516</v>
      </c>
    </row>
    <row r="4">
      <c r="A4" t="inlineStr">
        <is>
          <t>2010-2011</t>
        </is>
      </c>
      <c r="B4" t="n">
        <v>161083</v>
      </c>
      <c r="C4" s="2" t="n">
        <v>3906419</v>
      </c>
      <c r="D4" s="2" t="n">
        <v>89100</v>
      </c>
      <c r="E4" s="2" t="n">
        <v>37612</v>
      </c>
    </row>
    <row r="5">
      <c r="A5" t="inlineStr">
        <is>
          <t>2011-2012</t>
        </is>
      </c>
      <c r="B5" t="n">
        <v>161107</v>
      </c>
      <c r="C5" s="2" t="n">
        <v>3942373</v>
      </c>
      <c r="D5" s="2" t="n">
        <v>90078</v>
      </c>
      <c r="E5" s="2" t="n">
        <v>37828</v>
      </c>
    </row>
    <row r="6">
      <c r="A6" t="inlineStr">
        <is>
          <t>2012-2013</t>
        </is>
      </c>
      <c r="B6" t="n">
        <v>160767</v>
      </c>
      <c r="C6" s="2" t="n">
        <v>4026471</v>
      </c>
      <c r="D6" s="2" t="n">
        <v>89560</v>
      </c>
      <c r="E6" s="2" t="n">
        <v>37911</v>
      </c>
    </row>
    <row r="7">
      <c r="A7" t="inlineStr">
        <is>
          <t>2013-2014</t>
        </is>
      </c>
      <c r="B7" t="n">
        <v>215470</v>
      </c>
      <c r="C7" s="2" t="n">
        <v>5262008</v>
      </c>
      <c r="D7" s="2" t="n">
        <v>124751</v>
      </c>
      <c r="E7" s="2" t="n">
        <v>52606</v>
      </c>
    </row>
    <row r="8">
      <c r="A8" t="inlineStr">
        <is>
          <t>2014-2015</t>
        </is>
      </c>
      <c r="B8" t="n">
        <v>236863</v>
      </c>
      <c r="C8" s="2" t="n">
        <v>6045840</v>
      </c>
      <c r="D8" s="2" t="n">
        <v>132800</v>
      </c>
      <c r="E8" s="2" t="n">
        <v>58119</v>
      </c>
    </row>
    <row r="9">
      <c r="A9" t="inlineStr">
        <is>
          <t>2015-2016</t>
        </is>
      </c>
      <c r="B9" t="n">
        <v>273147</v>
      </c>
      <c r="C9" s="2" t="n">
        <v>6810366</v>
      </c>
      <c r="D9" s="2" t="n">
        <v>132400</v>
      </c>
      <c r="E9" s="2" t="n">
        <v>62475</v>
      </c>
    </row>
    <row r="10">
      <c r="A10" t="inlineStr">
        <is>
          <t>2016-2017</t>
        </is>
      </c>
      <c r="B10" t="n">
        <v>199957</v>
      </c>
      <c r="C10" s="2" t="n">
        <v>6381381</v>
      </c>
      <c r="D10" s="2" t="n">
        <v>133644</v>
      </c>
      <c r="E10" s="2" t="n">
        <v>58931</v>
      </c>
    </row>
    <row r="11">
      <c r="A11" t="inlineStr">
        <is>
          <t>2017-2018</t>
        </is>
      </c>
      <c r="B11" t="n">
        <v>185840</v>
      </c>
      <c r="C11" s="2" t="n">
        <v>6249392</v>
      </c>
      <c r="D11" s="2" t="n">
        <v>132967</v>
      </c>
      <c r="E11" s="2" t="n">
        <v>56025</v>
      </c>
    </row>
    <row r="12">
      <c r="A12" t="inlineStr">
        <is>
          <t>2018-2019</t>
        </is>
      </c>
      <c r="B12" t="n">
        <v>173825</v>
      </c>
      <c r="C12" s="2" t="n">
        <v>6132934</v>
      </c>
      <c r="D12" s="2" t="n">
        <v>135700</v>
      </c>
      <c r="E12" s="2" t="n">
        <v>53212</v>
      </c>
    </row>
    <row r="13">
      <c r="A13" t="inlineStr">
        <is>
          <t>2019-2020</t>
        </is>
      </c>
      <c r="B13" t="n">
        <v>166531</v>
      </c>
      <c r="C13" s="2" t="n">
        <v>6405982</v>
      </c>
      <c r="D13" s="2" t="n">
        <v>136647</v>
      </c>
      <c r="E13" s="2" t="n">
        <v>49776</v>
      </c>
    </row>
    <row r="14">
      <c r="A14" t="inlineStr">
        <is>
          <t>2020-2021</t>
        </is>
      </c>
      <c r="B14" t="n">
        <v>139943</v>
      </c>
      <c r="C14" s="2" t="n">
        <v>5357904</v>
      </c>
      <c r="D14" s="2" t="n">
        <v>136790</v>
      </c>
      <c r="E14" s="2" t="n">
        <v>41788</v>
      </c>
    </row>
    <row r="15">
      <c r="A15" t="inlineStr">
        <is>
          <t>2021-2022</t>
        </is>
      </c>
      <c r="B15" t="n">
        <v>153959</v>
      </c>
      <c r="C15" s="2" t="n">
        <v>6118156</v>
      </c>
      <c r="D15" s="2" t="n">
        <v>136941</v>
      </c>
      <c r="E15" s="2" t="n">
        <v>41998</v>
      </c>
    </row>
    <row r="16">
      <c r="A16" t="inlineStr">
        <is>
          <t>2022-2023</t>
        </is>
      </c>
      <c r="B16" t="n">
        <v>149844</v>
      </c>
      <c r="C16" s="2" t="n">
        <v>6226154</v>
      </c>
      <c r="D16" s="2" t="n">
        <v>160909</v>
      </c>
      <c r="E16" s="2" t="n">
        <v>39823</v>
      </c>
    </row>
    <row r="17">
      <c r="A17" t="inlineStr">
        <is>
          <t>2023-2024</t>
        </is>
      </c>
      <c r="B17" t="n">
        <v>176675</v>
      </c>
      <c r="C17" s="2" t="n">
        <v>9838018</v>
      </c>
      <c r="D17" s="2" t="n">
        <v>162896</v>
      </c>
      <c r="E17" s="2" t="n">
        <v>43927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Children's dental utilization model</t>
        </is>
      </c>
    </row>
    <row r="3">
      <c r="A3" s="1" t="inlineStr">
        <is>
          <t>Fiscal year</t>
        </is>
      </c>
      <c r="B3" s="1" t="inlineStr">
        <is>
          <t>Year start</t>
        </is>
      </c>
      <c r="C3" s="1" t="inlineStr">
        <is>
          <t>Amount paid ($)</t>
        </is>
      </c>
      <c r="D3" s="1" t="inlineStr">
        <is>
          <t>Beneficiaries</t>
        </is>
      </c>
      <c r="E3" s="1" t="inlineStr">
        <is>
          <t>Paid per beneficiary ($)</t>
        </is>
      </c>
      <c r="F3" s="1" t="inlineStr">
        <is>
          <t>Persons insured</t>
        </is>
      </c>
      <c r="G3" s="1" t="inlineStr">
        <is>
          <t>Coverage rate (%)</t>
        </is>
      </c>
    </row>
    <row r="4">
      <c r="A4">
        <f>Data!A2</f>
        <v/>
      </c>
      <c r="B4">
        <f>VALUE(LEFT(Data!A2,4))</f>
        <v/>
      </c>
      <c r="C4" s="2">
        <f>Data!C2</f>
        <v/>
      </c>
      <c r="D4" s="2">
        <f>Data!E2</f>
        <v/>
      </c>
      <c r="E4" s="4">
        <f>ROUND(Data!C2/Data!E2,2)</f>
        <v/>
      </c>
      <c r="F4" s="2">
        <f>Data!D2</f>
        <v/>
      </c>
      <c r="G4" s="4">
        <f>ROUND(Data!E2/Data!D2*100,2)</f>
        <v/>
      </c>
    </row>
    <row r="5">
      <c r="A5">
        <f>Data!A3</f>
        <v/>
      </c>
      <c r="B5">
        <f>VALUE(LEFT(Data!A3,4))</f>
        <v/>
      </c>
      <c r="C5" s="2">
        <f>Data!C3</f>
        <v/>
      </c>
      <c r="D5" s="2">
        <f>Data!E3</f>
        <v/>
      </c>
      <c r="E5" s="4">
        <f>ROUND(Data!C3/Data!E3,2)</f>
        <v/>
      </c>
      <c r="F5" s="2">
        <f>Data!D3</f>
        <v/>
      </c>
      <c r="G5" s="4">
        <f>ROUND(Data!E3/Data!D3*100,2)</f>
        <v/>
      </c>
    </row>
    <row r="6">
      <c r="A6">
        <f>Data!A4</f>
        <v/>
      </c>
      <c r="B6">
        <f>VALUE(LEFT(Data!A4,4))</f>
        <v/>
      </c>
      <c r="C6" s="2">
        <f>Data!C4</f>
        <v/>
      </c>
      <c r="D6" s="2">
        <f>Data!E4</f>
        <v/>
      </c>
      <c r="E6" s="4">
        <f>ROUND(Data!C4/Data!E4,2)</f>
        <v/>
      </c>
      <c r="F6" s="2">
        <f>Data!D4</f>
        <v/>
      </c>
      <c r="G6" s="4">
        <f>ROUND(Data!E4/Data!D4*100,2)</f>
        <v/>
      </c>
    </row>
    <row r="7">
      <c r="A7">
        <f>Data!A5</f>
        <v/>
      </c>
      <c r="B7">
        <f>VALUE(LEFT(Data!A5,4))</f>
        <v/>
      </c>
      <c r="C7" s="2">
        <f>Data!C5</f>
        <v/>
      </c>
      <c r="D7" s="2">
        <f>Data!E5</f>
        <v/>
      </c>
      <c r="E7" s="4">
        <f>ROUND(Data!C5/Data!E5,2)</f>
        <v/>
      </c>
      <c r="F7" s="2">
        <f>Data!D5</f>
        <v/>
      </c>
      <c r="G7" s="4">
        <f>ROUND(Data!E5/Data!D5*100,2)</f>
        <v/>
      </c>
    </row>
    <row r="8">
      <c r="A8">
        <f>Data!A6</f>
        <v/>
      </c>
      <c r="B8">
        <f>VALUE(LEFT(Data!A6,4))</f>
        <v/>
      </c>
      <c r="C8" s="2">
        <f>Data!C6</f>
        <v/>
      </c>
      <c r="D8" s="2">
        <f>Data!E6</f>
        <v/>
      </c>
      <c r="E8" s="4">
        <f>ROUND(Data!C6/Data!E6,2)</f>
        <v/>
      </c>
      <c r="F8" s="2">
        <f>Data!D6</f>
        <v/>
      </c>
      <c r="G8" s="4">
        <f>ROUND(Data!E6/Data!D6*100,2)</f>
        <v/>
      </c>
    </row>
    <row r="9">
      <c r="A9">
        <f>Data!A7</f>
        <v/>
      </c>
      <c r="B9">
        <f>VALUE(LEFT(Data!A7,4))</f>
        <v/>
      </c>
      <c r="C9" s="2">
        <f>Data!C7</f>
        <v/>
      </c>
      <c r="D9" s="2">
        <f>Data!E7</f>
        <v/>
      </c>
      <c r="E9" s="4">
        <f>ROUND(Data!C7/Data!E7,2)</f>
        <v/>
      </c>
      <c r="F9" s="2">
        <f>Data!D7</f>
        <v/>
      </c>
      <c r="G9" s="4">
        <f>ROUND(Data!E7/Data!D7*100,2)</f>
        <v/>
      </c>
    </row>
    <row r="10">
      <c r="A10">
        <f>Data!A8</f>
        <v/>
      </c>
      <c r="B10">
        <f>VALUE(LEFT(Data!A8,4))</f>
        <v/>
      </c>
      <c r="C10" s="2">
        <f>Data!C8</f>
        <v/>
      </c>
      <c r="D10" s="2">
        <f>Data!E8</f>
        <v/>
      </c>
      <c r="E10" s="4">
        <f>ROUND(Data!C8/Data!E8,2)</f>
        <v/>
      </c>
      <c r="F10" s="2">
        <f>Data!D8</f>
        <v/>
      </c>
      <c r="G10" s="4">
        <f>ROUND(Data!E8/Data!D8*100,2)</f>
        <v/>
      </c>
    </row>
    <row r="11">
      <c r="A11">
        <f>Data!A9</f>
        <v/>
      </c>
      <c r="B11">
        <f>VALUE(LEFT(Data!A9,4))</f>
        <v/>
      </c>
      <c r="C11" s="2">
        <f>Data!C9</f>
        <v/>
      </c>
      <c r="D11" s="2">
        <f>Data!E9</f>
        <v/>
      </c>
      <c r="E11" s="4">
        <f>ROUND(Data!C9/Data!E9,2)</f>
        <v/>
      </c>
      <c r="F11" s="2">
        <f>Data!D9</f>
        <v/>
      </c>
      <c r="G11" s="4">
        <f>ROUND(Data!E9/Data!D9*100,2)</f>
        <v/>
      </c>
    </row>
    <row r="12">
      <c r="A12">
        <f>Data!A10</f>
        <v/>
      </c>
      <c r="B12">
        <f>VALUE(LEFT(Data!A10,4))</f>
        <v/>
      </c>
      <c r="C12" s="2">
        <f>Data!C10</f>
        <v/>
      </c>
      <c r="D12" s="2">
        <f>Data!E10</f>
        <v/>
      </c>
      <c r="E12" s="4">
        <f>ROUND(Data!C10/Data!E10,2)</f>
        <v/>
      </c>
      <c r="F12" s="2">
        <f>Data!D10</f>
        <v/>
      </c>
      <c r="G12" s="4">
        <f>ROUND(Data!E10/Data!D10*100,2)</f>
        <v/>
      </c>
    </row>
    <row r="13">
      <c r="A13">
        <f>Data!A11</f>
        <v/>
      </c>
      <c r="B13">
        <f>VALUE(LEFT(Data!A11,4))</f>
        <v/>
      </c>
      <c r="C13" s="2">
        <f>Data!C11</f>
        <v/>
      </c>
      <c r="D13" s="2">
        <f>Data!E11</f>
        <v/>
      </c>
      <c r="E13" s="4">
        <f>ROUND(Data!C11/Data!E11,2)</f>
        <v/>
      </c>
      <c r="F13" s="2">
        <f>Data!D11</f>
        <v/>
      </c>
      <c r="G13" s="4">
        <f>ROUND(Data!E11/Data!D11*100,2)</f>
        <v/>
      </c>
    </row>
    <row r="14">
      <c r="A14">
        <f>Data!A12</f>
        <v/>
      </c>
      <c r="B14">
        <f>VALUE(LEFT(Data!A12,4))</f>
        <v/>
      </c>
      <c r="C14" s="2">
        <f>Data!C12</f>
        <v/>
      </c>
      <c r="D14" s="2">
        <f>Data!E12</f>
        <v/>
      </c>
      <c r="E14" s="4">
        <f>ROUND(Data!C12/Data!E12,2)</f>
        <v/>
      </c>
      <c r="F14" s="2">
        <f>Data!D12</f>
        <v/>
      </c>
      <c r="G14" s="4">
        <f>ROUND(Data!E12/Data!D12*100,2)</f>
        <v/>
      </c>
    </row>
    <row r="15">
      <c r="A15">
        <f>Data!A13</f>
        <v/>
      </c>
      <c r="B15">
        <f>VALUE(LEFT(Data!A13,4))</f>
        <v/>
      </c>
      <c r="C15" s="2">
        <f>Data!C13</f>
        <v/>
      </c>
      <c r="D15" s="2">
        <f>Data!E13</f>
        <v/>
      </c>
      <c r="E15" s="4">
        <f>ROUND(Data!C13/Data!E13,2)</f>
        <v/>
      </c>
      <c r="F15" s="2">
        <f>Data!D13</f>
        <v/>
      </c>
      <c r="G15" s="4">
        <f>ROUND(Data!E13/Data!D13*100,2)</f>
        <v/>
      </c>
    </row>
    <row r="16">
      <c r="A16">
        <f>Data!A14</f>
        <v/>
      </c>
      <c r="B16">
        <f>VALUE(LEFT(Data!A14,4))</f>
        <v/>
      </c>
      <c r="C16" s="2">
        <f>Data!C14</f>
        <v/>
      </c>
      <c r="D16" s="2">
        <f>Data!E14</f>
        <v/>
      </c>
      <c r="E16" s="4">
        <f>ROUND(Data!C14/Data!E14,2)</f>
        <v/>
      </c>
      <c r="F16" s="2">
        <f>Data!D14</f>
        <v/>
      </c>
      <c r="G16" s="4">
        <f>ROUND(Data!E14/Data!D14*100,2)</f>
        <v/>
      </c>
    </row>
    <row r="17">
      <c r="A17">
        <f>Data!A15</f>
        <v/>
      </c>
      <c r="B17">
        <f>VALUE(LEFT(Data!A15,4))</f>
        <v/>
      </c>
      <c r="C17" s="2">
        <f>Data!C15</f>
        <v/>
      </c>
      <c r="D17" s="2">
        <f>Data!E15</f>
        <v/>
      </c>
      <c r="E17" s="4">
        <f>ROUND(Data!C15/Data!E15,2)</f>
        <v/>
      </c>
      <c r="F17" s="2">
        <f>Data!D15</f>
        <v/>
      </c>
      <c r="G17" s="4">
        <f>ROUND(Data!E15/Data!D15*100,2)</f>
        <v/>
      </c>
    </row>
    <row r="18">
      <c r="A18">
        <f>Data!A16</f>
        <v/>
      </c>
      <c r="B18">
        <f>VALUE(LEFT(Data!A16,4))</f>
        <v/>
      </c>
      <c r="C18" s="2">
        <f>Data!C16</f>
        <v/>
      </c>
      <c r="D18" s="2">
        <f>Data!E16</f>
        <v/>
      </c>
      <c r="E18" s="4">
        <f>ROUND(Data!C16/Data!E16,2)</f>
        <v/>
      </c>
      <c r="F18" s="2">
        <f>Data!D16</f>
        <v/>
      </c>
      <c r="G18" s="4">
        <f>ROUND(Data!E16/Data!D16*100,2)</f>
        <v/>
      </c>
    </row>
    <row r="19">
      <c r="A19">
        <f>Data!A17</f>
        <v/>
      </c>
      <c r="B19">
        <f>VALUE(LEFT(Data!A17,4))</f>
        <v/>
      </c>
      <c r="C19" s="2">
        <f>Data!C17</f>
        <v/>
      </c>
      <c r="D19" s="2">
        <f>Data!E17</f>
        <v/>
      </c>
      <c r="E19" s="4">
        <f>ROUND(Data!C17/Data!E17,2)</f>
        <v/>
      </c>
      <c r="F19" s="2">
        <f>Data!D17</f>
        <v/>
      </c>
      <c r="G19" s="4">
        <f>ROUND(Data!E17/Data!D17*100,2)</f>
        <v/>
      </c>
    </row>
    <row r="21">
      <c r="A21" s="1" t="inlineStr">
        <is>
          <t>Totals</t>
        </is>
      </c>
    </row>
    <row r="22">
      <c r="A22" t="inlineStr">
        <is>
          <t>Total amount paid ($)</t>
        </is>
      </c>
      <c r="B22" s="2">
        <f>SUM(Data!C2:C17)</f>
        <v/>
      </c>
    </row>
    <row r="23">
      <c r="A23" t="inlineStr">
        <is>
          <t>Total beneficiaries</t>
        </is>
      </c>
      <c r="B23" s="2">
        <f>SUM(Data!E2:E17)</f>
        <v/>
      </c>
    </row>
    <row r="24">
      <c r="A24" t="inlineStr">
        <is>
          <t>Overall paid per beneficiary ($)</t>
        </is>
      </c>
      <c r="B24" s="4">
        <f>ROUND(SUM(Data!C2:C17)/SUM(Data!E2:E17),2)</f>
        <v/>
      </c>
    </row>
    <row r="26">
      <c r="A26" s="1" t="inlineStr">
        <is>
          <t>Trend and projection (least squares over observed years)</t>
        </is>
      </c>
    </row>
    <row r="27">
      <c r="A27" t="inlineStr">
        <is>
          <t>Slope ($ per year)</t>
        </is>
      </c>
      <c r="B27" s="5">
        <f>ROUND(SLOPE($E$4:$E$19,$B$4:$B$19),6)</f>
        <v/>
      </c>
    </row>
    <row r="28">
      <c r="A28" t="inlineStr">
        <is>
          <t>Intercept ($)</t>
        </is>
      </c>
      <c r="B28" s="5">
        <f>ROUND(INTERCEPT($E$4:$E$19,$B$4:$B$19),6)</f>
        <v/>
      </c>
    </row>
    <row r="29">
      <c r="A29" s="1" t="inlineStr">
        <is>
          <t>Projected period</t>
        </is>
      </c>
      <c r="B29" s="1" t="inlineStr">
        <is>
          <t>Year start</t>
        </is>
      </c>
      <c r="C29" s="1" t="inlineStr">
        <is>
          <t>Projected paid per beneficiary ($)</t>
        </is>
      </c>
    </row>
    <row r="30">
      <c r="A30">
        <f>TEXT(B30,"0")&amp;"-"&amp;TEXT(B30+1,"0")</f>
        <v/>
      </c>
      <c r="B30">
        <f>B19+1</f>
        <v/>
      </c>
      <c r="C30" s="4">
        <f>ROUND(INTERCEPT($E$4:$E$19,$B$4:$B$19)+SLOPE($E$4:$E$19,$B$4:$B$19)*B30,2)</f>
        <v/>
      </c>
    </row>
    <row r="31">
      <c r="A31">
        <f>TEXT(B31,"0")&amp;"-"&amp;TEXT(B31+1,"0")</f>
        <v/>
      </c>
      <c r="B31">
        <f>B19+2</f>
        <v/>
      </c>
      <c r="C31" s="4">
        <f>ROUND(INTERCEPT($E$4:$E$19,$B$4:$B$19)+SLOPE($E$4:$E$19,$B$4:$B$19)*B31,2)</f>
        <v/>
      </c>
    </row>
    <row r="33">
      <c r="A33" s="1" t="inlineStr">
        <is>
          <t>Headline</t>
        </is>
      </c>
    </row>
    <row r="34">
      <c r="A34" t="inlineStr">
        <is>
          <t>Latest fiscal year</t>
        </is>
      </c>
      <c r="B34">
        <f>A19</f>
        <v/>
      </c>
    </row>
    <row r="35">
      <c r="A35" t="inlineStr">
        <is>
          <t>Latest paid per beneficiary ($)</t>
        </is>
      </c>
      <c r="B35" s="4">
        <f>E19</f>
        <v/>
      </c>
    </row>
    <row r="36">
      <c r="A36" t="inlineStr">
        <is>
          <t>Change since first year (%)</t>
        </is>
      </c>
      <c r="B36" s="4">
        <f>ROUND((E19-E4)/E4*100,2)</f>
        <v/>
      </c>
    </row>
    <row r="37">
      <c r="A37" t="inlineStr">
        <is>
          <t>Next projected paid per beneficiary ($)</t>
        </is>
      </c>
      <c r="B37" s="4">
        <f>C30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2026-07-11T22:24:09Z</dcterms:created>
  <dcterms:modified xsi:type="dcterms:W3CDTF">2026-07-11T22:24:09Z</dcterms:modified>
</cp:coreProperties>
</file>