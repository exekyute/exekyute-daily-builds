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value_degc</t>
        </is>
      </c>
    </row>
    <row r="2">
      <c r="A2" t="inlineStr">
        <is>
          <t>Annapolis</t>
        </is>
      </c>
      <c r="B2" t="inlineStr">
        <is>
          <t>RCP4.5</t>
        </is>
      </c>
      <c r="C2" t="inlineStr">
        <is>
          <t>2010</t>
        </is>
      </c>
      <c r="D2" s="2" t="n">
        <v>6.932952309</v>
      </c>
    </row>
    <row r="3">
      <c r="A3" t="inlineStr">
        <is>
          <t>Annapolis</t>
        </is>
      </c>
      <c r="B3" t="inlineStr">
        <is>
          <t>RCP4.5</t>
        </is>
      </c>
      <c r="C3" t="inlineStr">
        <is>
          <t>2045</t>
        </is>
      </c>
      <c r="D3" s="2" t="n">
        <v>8.265328499000001</v>
      </c>
    </row>
    <row r="4">
      <c r="A4" t="inlineStr">
        <is>
          <t>Annapolis</t>
        </is>
      </c>
      <c r="B4" t="inlineStr">
        <is>
          <t>RCP4.5</t>
        </is>
      </c>
      <c r="C4" t="inlineStr">
        <is>
          <t>2095</t>
        </is>
      </c>
      <c r="D4" s="2" t="n">
        <v>9.577544680000001</v>
      </c>
    </row>
    <row r="5">
      <c r="A5" t="inlineStr">
        <is>
          <t>Annapolis</t>
        </is>
      </c>
      <c r="B5" t="inlineStr">
        <is>
          <t>RCP8.5</t>
        </is>
      </c>
      <c r="C5" t="inlineStr">
        <is>
          <t>2010</t>
        </is>
      </c>
      <c r="D5" s="2" t="n">
        <v>6.948310323</v>
      </c>
    </row>
    <row r="6">
      <c r="A6" t="inlineStr">
        <is>
          <t>Annapolis</t>
        </is>
      </c>
      <c r="B6" t="inlineStr">
        <is>
          <t>RCP8.5</t>
        </is>
      </c>
      <c r="C6" t="inlineStr">
        <is>
          <t>2045</t>
        </is>
      </c>
      <c r="D6" s="2" t="n">
        <v>8.335119860000001</v>
      </c>
    </row>
    <row r="7">
      <c r="A7" t="inlineStr">
        <is>
          <t>Annapolis</t>
        </is>
      </c>
      <c r="B7" t="inlineStr">
        <is>
          <t>RCP8.5</t>
        </is>
      </c>
      <c r="C7" t="inlineStr">
        <is>
          <t>2095</t>
        </is>
      </c>
      <c r="D7" s="2" t="n">
        <v>11.53174347</v>
      </c>
    </row>
    <row r="8">
      <c r="A8" t="inlineStr">
        <is>
          <t>Antigonish</t>
        </is>
      </c>
      <c r="B8" t="inlineStr">
        <is>
          <t>RCP4.5</t>
        </is>
      </c>
      <c r="C8" t="inlineStr">
        <is>
          <t>2010</t>
        </is>
      </c>
      <c r="D8" s="2" t="n">
        <v>6.286916957</v>
      </c>
    </row>
    <row r="9">
      <c r="A9" t="inlineStr">
        <is>
          <t>Antigonish</t>
        </is>
      </c>
      <c r="B9" t="inlineStr">
        <is>
          <t>RCP4.5</t>
        </is>
      </c>
      <c r="C9" t="inlineStr">
        <is>
          <t>2045</t>
        </is>
      </c>
      <c r="D9" s="2" t="n">
        <v>7.629488611</v>
      </c>
    </row>
    <row r="10">
      <c r="A10" t="inlineStr">
        <is>
          <t>Antigonish</t>
        </is>
      </c>
      <c r="B10" t="inlineStr">
        <is>
          <t>RCP4.5</t>
        </is>
      </c>
      <c r="C10" t="inlineStr">
        <is>
          <t>2095</t>
        </is>
      </c>
      <c r="D10" s="2" t="n">
        <v>8.955826165</v>
      </c>
    </row>
    <row r="11">
      <c r="A11" t="inlineStr">
        <is>
          <t>Antigonish</t>
        </is>
      </c>
      <c r="B11" t="inlineStr">
        <is>
          <t>RCP8.5</t>
        </is>
      </c>
      <c r="C11" t="inlineStr">
        <is>
          <t>2010</t>
        </is>
      </c>
      <c r="D11" s="2" t="n">
        <v>6.285878544</v>
      </c>
    </row>
    <row r="12">
      <c r="A12" t="inlineStr">
        <is>
          <t>Antigonish</t>
        </is>
      </c>
      <c r="B12" t="inlineStr">
        <is>
          <t>RCP8.5</t>
        </is>
      </c>
      <c r="C12" t="inlineStr">
        <is>
          <t>2045</t>
        </is>
      </c>
      <c r="D12" s="2" t="n">
        <v>7.638098166</v>
      </c>
    </row>
    <row r="13">
      <c r="A13" t="inlineStr">
        <is>
          <t>Antigonish</t>
        </is>
      </c>
      <c r="B13" t="inlineStr">
        <is>
          <t>RCP8.5</t>
        </is>
      </c>
      <c r="C13" t="inlineStr">
        <is>
          <t>2095</t>
        </is>
      </c>
      <c r="D13" s="2" t="n">
        <v>10.9000369</v>
      </c>
    </row>
    <row r="14">
      <c r="A14" t="inlineStr">
        <is>
          <t>Cape Breton</t>
        </is>
      </c>
      <c r="B14" t="inlineStr">
        <is>
          <t>RCP4.5</t>
        </is>
      </c>
      <c r="C14" t="inlineStr">
        <is>
          <t>2010</t>
        </is>
      </c>
      <c r="D14" s="2" t="n">
        <v>6.373802577</v>
      </c>
    </row>
    <row r="15">
      <c r="A15" t="inlineStr">
        <is>
          <t>Cape Breton</t>
        </is>
      </c>
      <c r="B15" t="inlineStr">
        <is>
          <t>RCP4.5</t>
        </is>
      </c>
      <c r="C15" t="inlineStr">
        <is>
          <t>2045</t>
        </is>
      </c>
      <c r="D15" s="2" t="n">
        <v>7.684457171</v>
      </c>
    </row>
    <row r="16">
      <c r="A16" t="inlineStr">
        <is>
          <t>Cape Breton</t>
        </is>
      </c>
      <c r="B16" t="inlineStr">
        <is>
          <t>RCP4.5</t>
        </is>
      </c>
      <c r="C16" t="inlineStr">
        <is>
          <t>2095</t>
        </is>
      </c>
      <c r="D16" s="2" t="n">
        <v>9.027488278</v>
      </c>
    </row>
    <row r="17">
      <c r="A17" t="inlineStr">
        <is>
          <t>Cape Breton</t>
        </is>
      </c>
      <c r="B17" t="inlineStr">
        <is>
          <t>RCP8.5</t>
        </is>
      </c>
      <c r="C17" t="inlineStr">
        <is>
          <t>2010</t>
        </is>
      </c>
      <c r="D17" s="2" t="n">
        <v>6.371167843</v>
      </c>
    </row>
    <row r="18">
      <c r="A18" t="inlineStr">
        <is>
          <t>Cape Breton</t>
        </is>
      </c>
      <c r="B18" t="inlineStr">
        <is>
          <t>RCP8.5</t>
        </is>
      </c>
      <c r="C18" t="inlineStr">
        <is>
          <t>2045</t>
        </is>
      </c>
      <c r="D18" s="2" t="n">
        <v>7.684137439</v>
      </c>
    </row>
    <row r="19">
      <c r="A19" t="inlineStr">
        <is>
          <t>Cape Breton</t>
        </is>
      </c>
      <c r="B19" t="inlineStr">
        <is>
          <t>RCP8.5</t>
        </is>
      </c>
      <c r="C19" t="inlineStr">
        <is>
          <t>2095</t>
        </is>
      </c>
      <c r="D19" s="2" t="n">
        <v>10.94402858</v>
      </c>
    </row>
    <row r="20">
      <c r="A20" t="inlineStr">
        <is>
          <t>Colchester</t>
        </is>
      </c>
      <c r="B20" t="inlineStr">
        <is>
          <t>RCP4.5</t>
        </is>
      </c>
      <c r="C20" t="inlineStr">
        <is>
          <t>2010</t>
        </is>
      </c>
      <c r="D20" s="2" t="n">
        <v>6.241109669</v>
      </c>
    </row>
    <row r="21">
      <c r="A21" t="inlineStr">
        <is>
          <t>Colchester</t>
        </is>
      </c>
      <c r="B21" t="inlineStr">
        <is>
          <t>RCP4.5</t>
        </is>
      </c>
      <c r="C21" t="inlineStr">
        <is>
          <t>2045</t>
        </is>
      </c>
      <c r="D21" s="2" t="n">
        <v>7.625548419</v>
      </c>
    </row>
    <row r="22">
      <c r="A22" t="inlineStr">
        <is>
          <t>Colchester</t>
        </is>
      </c>
      <c r="B22" t="inlineStr">
        <is>
          <t>RCP4.5</t>
        </is>
      </c>
      <c r="C22" t="inlineStr">
        <is>
          <t>2095</t>
        </is>
      </c>
      <c r="D22" s="2" t="n">
        <v>8.91220745</v>
      </c>
    </row>
    <row r="23">
      <c r="A23" t="inlineStr">
        <is>
          <t>Colchester</t>
        </is>
      </c>
      <c r="B23" t="inlineStr">
        <is>
          <t>RCP8.5</t>
        </is>
      </c>
      <c r="C23" t="inlineStr">
        <is>
          <t>2010</t>
        </is>
      </c>
      <c r="D23" s="2" t="n">
        <v>6.241165746</v>
      </c>
    </row>
    <row r="24">
      <c r="A24" t="inlineStr">
        <is>
          <t>Colchester</t>
        </is>
      </c>
      <c r="B24" t="inlineStr">
        <is>
          <t>RCP8.5</t>
        </is>
      </c>
      <c r="C24" t="inlineStr">
        <is>
          <t>2045</t>
        </is>
      </c>
      <c r="D24" s="2" t="n">
        <v>7.65659412</v>
      </c>
    </row>
    <row r="25">
      <c r="A25" t="inlineStr">
        <is>
          <t>Colchester</t>
        </is>
      </c>
      <c r="B25" t="inlineStr">
        <is>
          <t>RCP8.5</t>
        </is>
      </c>
      <c r="C25" t="inlineStr">
        <is>
          <t>2095</t>
        </is>
      </c>
      <c r="D25" s="2" t="n">
        <v>10.89997908</v>
      </c>
    </row>
    <row r="26">
      <c r="A26" t="inlineStr">
        <is>
          <t>Cumberland</t>
        </is>
      </c>
      <c r="B26" t="inlineStr">
        <is>
          <t>RCP4.5</t>
        </is>
      </c>
      <c r="C26" t="inlineStr">
        <is>
          <t>2010</t>
        </is>
      </c>
      <c r="D26" s="2" t="n">
        <v>6.257816638</v>
      </c>
    </row>
    <row r="27">
      <c r="A27" t="inlineStr">
        <is>
          <t>Cumberland</t>
        </is>
      </c>
      <c r="B27" t="inlineStr">
        <is>
          <t>RCP4.5</t>
        </is>
      </c>
      <c r="C27" t="inlineStr">
        <is>
          <t>2045</t>
        </is>
      </c>
      <c r="D27" s="2" t="n">
        <v>7.667317617</v>
      </c>
    </row>
    <row r="28">
      <c r="A28" t="inlineStr">
        <is>
          <t>Cumberland</t>
        </is>
      </c>
      <c r="B28" t="inlineStr">
        <is>
          <t>RCP4.5</t>
        </is>
      </c>
      <c r="C28" t="inlineStr">
        <is>
          <t>2095</t>
        </is>
      </c>
      <c r="D28" s="2" t="n">
        <v>9.005960180000001</v>
      </c>
    </row>
    <row r="29">
      <c r="A29" t="inlineStr">
        <is>
          <t>Cumberland</t>
        </is>
      </c>
      <c r="B29" t="inlineStr">
        <is>
          <t>RCP8.5</t>
        </is>
      </c>
      <c r="C29" t="inlineStr">
        <is>
          <t>2010</t>
        </is>
      </c>
      <c r="D29" s="2" t="n">
        <v>6.257928916</v>
      </c>
    </row>
    <row r="30">
      <c r="A30" t="inlineStr">
        <is>
          <t>Cumberland</t>
        </is>
      </c>
      <c r="B30" t="inlineStr">
        <is>
          <t>RCP8.5</t>
        </is>
      </c>
      <c r="C30" t="inlineStr">
        <is>
          <t>2045</t>
        </is>
      </c>
      <c r="D30" s="2" t="n">
        <v>7.717001293</v>
      </c>
    </row>
    <row r="31">
      <c r="A31" t="inlineStr">
        <is>
          <t>Cumberland</t>
        </is>
      </c>
      <c r="B31" t="inlineStr">
        <is>
          <t>RCP8.5</t>
        </is>
      </c>
      <c r="C31" t="inlineStr">
        <is>
          <t>2095</t>
        </is>
      </c>
      <c r="D31" s="2" t="n">
        <v>11.07198714</v>
      </c>
    </row>
    <row r="32">
      <c r="A32" t="inlineStr">
        <is>
          <t>Digby</t>
        </is>
      </c>
      <c r="B32" t="inlineStr">
        <is>
          <t>RCP4.5</t>
        </is>
      </c>
      <c r="C32" t="inlineStr">
        <is>
          <t>2010</t>
        </is>
      </c>
      <c r="D32" s="2" t="n">
        <v>7.200770476</v>
      </c>
    </row>
    <row r="33">
      <c r="A33" t="inlineStr">
        <is>
          <t>Digby</t>
        </is>
      </c>
      <c r="B33" t="inlineStr">
        <is>
          <t>RCP4.5</t>
        </is>
      </c>
      <c r="C33" t="inlineStr">
        <is>
          <t>2045</t>
        </is>
      </c>
      <c r="D33" s="2" t="n">
        <v>8.531481319999999</v>
      </c>
    </row>
    <row r="34">
      <c r="A34" t="inlineStr">
        <is>
          <t>Digby</t>
        </is>
      </c>
      <c r="B34" t="inlineStr">
        <is>
          <t>RCP4.5</t>
        </is>
      </c>
      <c r="C34" t="inlineStr">
        <is>
          <t>2095</t>
        </is>
      </c>
      <c r="D34" s="2" t="n">
        <v>9.804967629</v>
      </c>
    </row>
    <row r="35">
      <c r="A35" t="inlineStr">
        <is>
          <t>Digby</t>
        </is>
      </c>
      <c r="B35" t="inlineStr">
        <is>
          <t>RCP8.5</t>
        </is>
      </c>
      <c r="C35" t="inlineStr">
        <is>
          <t>2010</t>
        </is>
      </c>
      <c r="D35" s="2" t="n">
        <v>7.215599695</v>
      </c>
    </row>
    <row r="36">
      <c r="A36" t="inlineStr">
        <is>
          <t>Digby</t>
        </is>
      </c>
      <c r="B36" t="inlineStr">
        <is>
          <t>RCP8.5</t>
        </is>
      </c>
      <c r="C36" t="inlineStr">
        <is>
          <t>2045</t>
        </is>
      </c>
      <c r="D36" s="2" t="n">
        <v>8.593165397</v>
      </c>
    </row>
    <row r="37">
      <c r="A37" t="inlineStr">
        <is>
          <t>Digby</t>
        </is>
      </c>
      <c r="B37" t="inlineStr">
        <is>
          <t>RCP8.5</t>
        </is>
      </c>
      <c r="C37" t="inlineStr">
        <is>
          <t>2095</t>
        </is>
      </c>
      <c r="D37" s="2" t="n">
        <v>11.71811854</v>
      </c>
    </row>
    <row r="38">
      <c r="A38" t="inlineStr">
        <is>
          <t>Guysborough</t>
        </is>
      </c>
      <c r="B38" t="inlineStr">
        <is>
          <t>RCP4.5</t>
        </is>
      </c>
      <c r="C38" t="inlineStr">
        <is>
          <t>2010</t>
        </is>
      </c>
      <c r="D38" s="2" t="n">
        <v>6.239574097</v>
      </c>
    </row>
    <row r="39">
      <c r="A39" t="inlineStr">
        <is>
          <t>Guysborough</t>
        </is>
      </c>
      <c r="B39" t="inlineStr">
        <is>
          <t>RCP4.5</t>
        </is>
      </c>
      <c r="C39" t="inlineStr">
        <is>
          <t>2045</t>
        </is>
      </c>
      <c r="D39" s="2" t="n">
        <v>7.578648374</v>
      </c>
    </row>
    <row r="40">
      <c r="A40" t="inlineStr">
        <is>
          <t>Guysborough</t>
        </is>
      </c>
      <c r="B40" t="inlineStr">
        <is>
          <t>RCP4.5</t>
        </is>
      </c>
      <c r="C40" t="inlineStr">
        <is>
          <t>2095</t>
        </is>
      </c>
      <c r="D40" s="2" t="n">
        <v>8.837309622999999</v>
      </c>
    </row>
    <row r="41">
      <c r="A41" t="inlineStr">
        <is>
          <t>Guysborough</t>
        </is>
      </c>
      <c r="B41" t="inlineStr">
        <is>
          <t>RCP8.5</t>
        </is>
      </c>
      <c r="C41" t="inlineStr">
        <is>
          <t>2010</t>
        </is>
      </c>
      <c r="D41" s="2" t="n">
        <v>6.238172009</v>
      </c>
    </row>
    <row r="42">
      <c r="A42" t="inlineStr">
        <is>
          <t>Guysborough</t>
        </is>
      </c>
      <c r="B42" t="inlineStr">
        <is>
          <t>RCP8.5</t>
        </is>
      </c>
      <c r="C42" t="inlineStr">
        <is>
          <t>2045</t>
        </is>
      </c>
      <c r="D42" s="2" t="n">
        <v>7.572920213</v>
      </c>
    </row>
    <row r="43">
      <c r="A43" t="inlineStr">
        <is>
          <t>Guysborough</t>
        </is>
      </c>
      <c r="B43" t="inlineStr">
        <is>
          <t>RCP8.5</t>
        </is>
      </c>
      <c r="C43" t="inlineStr">
        <is>
          <t>2095</t>
        </is>
      </c>
      <c r="D43" s="2" t="n">
        <v>10.74710029</v>
      </c>
    </row>
    <row r="44">
      <c r="A44" t="inlineStr">
        <is>
          <t>Halifax</t>
        </is>
      </c>
      <c r="B44" t="inlineStr">
        <is>
          <t>RCP4.5</t>
        </is>
      </c>
      <c r="C44" t="inlineStr">
        <is>
          <t>2010</t>
        </is>
      </c>
      <c r="D44" s="2" t="n">
        <v>6.72189496</v>
      </c>
    </row>
    <row r="45">
      <c r="A45" t="inlineStr">
        <is>
          <t>Halifax</t>
        </is>
      </c>
      <c r="B45" t="inlineStr">
        <is>
          <t>RCP4.5</t>
        </is>
      </c>
      <c r="C45" t="inlineStr">
        <is>
          <t>2045</t>
        </is>
      </c>
      <c r="D45" s="2" t="n">
        <v>8.048719275</v>
      </c>
    </row>
    <row r="46">
      <c r="A46" t="inlineStr">
        <is>
          <t>Halifax</t>
        </is>
      </c>
      <c r="B46" t="inlineStr">
        <is>
          <t>RCP4.5</t>
        </is>
      </c>
      <c r="C46" t="inlineStr">
        <is>
          <t>2095</t>
        </is>
      </c>
      <c r="D46" s="2" t="n">
        <v>9.295413925</v>
      </c>
    </row>
    <row r="47">
      <c r="A47" t="inlineStr">
        <is>
          <t>Halifax</t>
        </is>
      </c>
      <c r="B47" t="inlineStr">
        <is>
          <t>RCP8.5</t>
        </is>
      </c>
      <c r="C47" t="inlineStr">
        <is>
          <t>2010</t>
        </is>
      </c>
      <c r="D47" s="2" t="n">
        <v>6.730012455</v>
      </c>
    </row>
    <row r="48">
      <c r="A48" t="inlineStr">
        <is>
          <t>Halifax</t>
        </is>
      </c>
      <c r="B48" t="inlineStr">
        <is>
          <t>RCP8.5</t>
        </is>
      </c>
      <c r="C48" t="inlineStr">
        <is>
          <t>2045</t>
        </is>
      </c>
      <c r="D48" s="2" t="n">
        <v>8.064077627</v>
      </c>
    </row>
    <row r="49">
      <c r="A49" t="inlineStr">
        <is>
          <t>Halifax</t>
        </is>
      </c>
      <c r="B49" t="inlineStr">
        <is>
          <t>RCP8.5</t>
        </is>
      </c>
      <c r="C49" t="inlineStr">
        <is>
          <t>2095</t>
        </is>
      </c>
      <c r="D49" s="2" t="n">
        <v>11.1861544</v>
      </c>
    </row>
    <row r="50">
      <c r="A50" t="inlineStr">
        <is>
          <t>Hants</t>
        </is>
      </c>
      <c r="B50" t="inlineStr">
        <is>
          <t>RCP4.5</t>
        </is>
      </c>
      <c r="C50" t="inlineStr">
        <is>
          <t>2010</t>
        </is>
      </c>
      <c r="D50" s="2" t="n">
        <v>6.862763191</v>
      </c>
    </row>
    <row r="51">
      <c r="A51" t="inlineStr">
        <is>
          <t>Hants</t>
        </is>
      </c>
      <c r="B51" t="inlineStr">
        <is>
          <t>RCP4.5</t>
        </is>
      </c>
      <c r="C51" t="inlineStr">
        <is>
          <t>2045</t>
        </is>
      </c>
      <c r="D51" s="2" t="n">
        <v>8.202841189999999</v>
      </c>
    </row>
    <row r="52">
      <c r="A52" t="inlineStr">
        <is>
          <t>Hants</t>
        </is>
      </c>
      <c r="B52" t="inlineStr">
        <is>
          <t>RCP4.5</t>
        </is>
      </c>
      <c r="C52" t="inlineStr">
        <is>
          <t>2095</t>
        </is>
      </c>
      <c r="D52" s="2" t="n">
        <v>9.498709624</v>
      </c>
    </row>
    <row r="53">
      <c r="A53" t="inlineStr">
        <is>
          <t>Hants</t>
        </is>
      </c>
      <c r="B53" t="inlineStr">
        <is>
          <t>RCP8.5</t>
        </is>
      </c>
      <c r="C53" t="inlineStr">
        <is>
          <t>2010</t>
        </is>
      </c>
      <c r="D53" s="2" t="n">
        <v>6.873670321</v>
      </c>
    </row>
    <row r="54">
      <c r="A54" t="inlineStr">
        <is>
          <t>Hants</t>
        </is>
      </c>
      <c r="B54" t="inlineStr">
        <is>
          <t>RCP8.5</t>
        </is>
      </c>
      <c r="C54" t="inlineStr">
        <is>
          <t>2045</t>
        </is>
      </c>
      <c r="D54" s="2" t="n">
        <v>8.256304413000001</v>
      </c>
    </row>
    <row r="55">
      <c r="A55" t="inlineStr">
        <is>
          <t>Hants</t>
        </is>
      </c>
      <c r="B55" t="inlineStr">
        <is>
          <t>RCP8.5</t>
        </is>
      </c>
      <c r="C55" t="inlineStr">
        <is>
          <t>2095</t>
        </is>
      </c>
      <c r="D55" s="2" t="n">
        <v>11.45337231</v>
      </c>
    </row>
    <row r="56">
      <c r="A56" t="inlineStr">
        <is>
          <t>Inverness</t>
        </is>
      </c>
      <c r="B56" t="inlineStr">
        <is>
          <t>RCP4.5</t>
        </is>
      </c>
      <c r="C56" t="inlineStr">
        <is>
          <t>2010</t>
        </is>
      </c>
      <c r="D56" s="2" t="n">
        <v>5.708065126</v>
      </c>
    </row>
    <row r="57">
      <c r="A57" t="inlineStr">
        <is>
          <t>Inverness</t>
        </is>
      </c>
      <c r="B57" t="inlineStr">
        <is>
          <t>RCP4.5</t>
        </is>
      </c>
      <c r="C57" t="inlineStr">
        <is>
          <t>2045</t>
        </is>
      </c>
      <c r="D57" s="2" t="n">
        <v>7.07203152</v>
      </c>
    </row>
    <row r="58">
      <c r="A58" t="inlineStr">
        <is>
          <t>Inverness</t>
        </is>
      </c>
      <c r="B58" t="inlineStr">
        <is>
          <t>RCP4.5</t>
        </is>
      </c>
      <c r="C58" t="inlineStr">
        <is>
          <t>2095</t>
        </is>
      </c>
      <c r="D58" s="2" t="n">
        <v>8.419210144999999</v>
      </c>
    </row>
    <row r="59">
      <c r="A59" t="inlineStr">
        <is>
          <t>Inverness</t>
        </is>
      </c>
      <c r="B59" t="inlineStr">
        <is>
          <t>RCP8.5</t>
        </is>
      </c>
      <c r="C59" t="inlineStr">
        <is>
          <t>2010</t>
        </is>
      </c>
      <c r="D59" s="2" t="n">
        <v>5.713785659</v>
      </c>
    </row>
    <row r="60">
      <c r="A60" t="inlineStr">
        <is>
          <t>Inverness</t>
        </is>
      </c>
      <c r="B60" t="inlineStr">
        <is>
          <t>RCP8.5</t>
        </is>
      </c>
      <c r="C60" t="inlineStr">
        <is>
          <t>2045</t>
        </is>
      </c>
      <c r="D60" s="2" t="n">
        <v>7.069076738</v>
      </c>
    </row>
    <row r="61">
      <c r="A61" t="inlineStr">
        <is>
          <t>Inverness</t>
        </is>
      </c>
      <c r="B61" t="inlineStr">
        <is>
          <t>RCP8.5</t>
        </is>
      </c>
      <c r="C61" t="inlineStr">
        <is>
          <t>2095</t>
        </is>
      </c>
      <c r="D61" s="2" t="n">
        <v>10.37781722</v>
      </c>
    </row>
    <row r="62">
      <c r="A62" t="inlineStr">
        <is>
          <t>Kings</t>
        </is>
      </c>
      <c r="B62" t="inlineStr">
        <is>
          <t>RCP4.5</t>
        </is>
      </c>
      <c r="C62" t="inlineStr">
        <is>
          <t>2010</t>
        </is>
      </c>
      <c r="D62" s="2" t="n">
        <v>6.845646925</v>
      </c>
    </row>
    <row r="63">
      <c r="A63" t="inlineStr">
        <is>
          <t>Kings</t>
        </is>
      </c>
      <c r="B63" t="inlineStr">
        <is>
          <t>RCP4.5</t>
        </is>
      </c>
      <c r="C63" t="inlineStr">
        <is>
          <t>2045</t>
        </is>
      </c>
      <c r="D63" s="2" t="n">
        <v>8.174211438</v>
      </c>
    </row>
    <row r="64">
      <c r="A64" t="inlineStr">
        <is>
          <t>Kings</t>
        </is>
      </c>
      <c r="B64" t="inlineStr">
        <is>
          <t>RCP4.5</t>
        </is>
      </c>
      <c r="C64" t="inlineStr">
        <is>
          <t>2095</t>
        </is>
      </c>
      <c r="D64" s="2" t="n">
        <v>9.500528482</v>
      </c>
    </row>
    <row r="65">
      <c r="A65" t="inlineStr">
        <is>
          <t>Kings</t>
        </is>
      </c>
      <c r="B65" t="inlineStr">
        <is>
          <t>RCP8.5</t>
        </is>
      </c>
      <c r="C65" t="inlineStr">
        <is>
          <t>2010</t>
        </is>
      </c>
      <c r="D65" s="2" t="n">
        <v>6.85457441</v>
      </c>
    </row>
    <row r="66">
      <c r="A66" t="inlineStr">
        <is>
          <t>Kings</t>
        </is>
      </c>
      <c r="B66" t="inlineStr">
        <is>
          <t>RCP8.5</t>
        </is>
      </c>
      <c r="C66" t="inlineStr">
        <is>
          <t>2045</t>
        </is>
      </c>
      <c r="D66" s="2" t="n">
        <v>8.252757252</v>
      </c>
    </row>
    <row r="67">
      <c r="A67" t="inlineStr">
        <is>
          <t>Kings</t>
        </is>
      </c>
      <c r="B67" t="inlineStr">
        <is>
          <t>RCP8.5</t>
        </is>
      </c>
      <c r="C67" t="inlineStr">
        <is>
          <t>2095</t>
        </is>
      </c>
      <c r="D67" s="2" t="n">
        <v>11.48303072</v>
      </c>
    </row>
    <row r="68">
      <c r="A68" t="inlineStr">
        <is>
          <t>Lunenburg</t>
        </is>
      </c>
      <c r="B68" t="inlineStr">
        <is>
          <t>RCP4.5</t>
        </is>
      </c>
      <c r="C68" t="inlineStr">
        <is>
          <t>2010</t>
        </is>
      </c>
      <c r="D68" s="2" t="n">
        <v>7.103355687</v>
      </c>
    </row>
    <row r="69">
      <c r="A69" t="inlineStr">
        <is>
          <t>Lunenburg</t>
        </is>
      </c>
      <c r="B69" t="inlineStr">
        <is>
          <t>RCP4.5</t>
        </is>
      </c>
      <c r="C69" t="inlineStr">
        <is>
          <t>2045</t>
        </is>
      </c>
      <c r="D69" s="2" t="n">
        <v>8.412894573999999</v>
      </c>
    </row>
    <row r="70">
      <c r="A70" t="inlineStr">
        <is>
          <t>Lunenburg</t>
        </is>
      </c>
      <c r="B70" t="inlineStr">
        <is>
          <t>RCP4.5</t>
        </is>
      </c>
      <c r="C70" t="inlineStr">
        <is>
          <t>2095</t>
        </is>
      </c>
      <c r="D70" s="2" t="n">
        <v>9.679789451</v>
      </c>
    </row>
    <row r="71">
      <c r="A71" t="inlineStr">
        <is>
          <t>Lunenburg</t>
        </is>
      </c>
      <c r="B71" t="inlineStr">
        <is>
          <t>RCP8.5</t>
        </is>
      </c>
      <c r="C71" t="inlineStr">
        <is>
          <t>2010</t>
        </is>
      </c>
      <c r="D71" s="2" t="n">
        <v>7.118573747</v>
      </c>
    </row>
    <row r="72">
      <c r="A72" t="inlineStr">
        <is>
          <t>Lunenburg</t>
        </is>
      </c>
      <c r="B72" t="inlineStr">
        <is>
          <t>RCP8.5</t>
        </is>
      </c>
      <c r="C72" t="inlineStr">
        <is>
          <t>2045</t>
        </is>
      </c>
      <c r="D72" s="2" t="n">
        <v>8.455770811000001</v>
      </c>
    </row>
    <row r="73">
      <c r="A73" t="inlineStr">
        <is>
          <t>Lunenburg</t>
        </is>
      </c>
      <c r="B73" t="inlineStr">
        <is>
          <t>RCP8.5</t>
        </is>
      </c>
      <c r="C73" t="inlineStr">
        <is>
          <t>2095</t>
        </is>
      </c>
      <c r="D73" s="2" t="n">
        <v>11.56908809</v>
      </c>
    </row>
    <row r="74">
      <c r="A74" t="inlineStr">
        <is>
          <t>Pictou</t>
        </is>
      </c>
      <c r="B74" t="inlineStr">
        <is>
          <t>RCP4.5</t>
        </is>
      </c>
      <c r="C74" t="inlineStr">
        <is>
          <t>2010</t>
        </is>
      </c>
      <c r="D74" s="2" t="n">
        <v>6.240196637</v>
      </c>
    </row>
    <row r="75">
      <c r="A75" t="inlineStr">
        <is>
          <t>Pictou</t>
        </is>
      </c>
      <c r="B75" t="inlineStr">
        <is>
          <t>RCP4.5</t>
        </is>
      </c>
      <c r="C75" t="inlineStr">
        <is>
          <t>2045</t>
        </is>
      </c>
      <c r="D75" s="2" t="n">
        <v>7.619471516</v>
      </c>
    </row>
    <row r="76">
      <c r="A76" t="inlineStr">
        <is>
          <t>Pictou</t>
        </is>
      </c>
      <c r="B76" t="inlineStr">
        <is>
          <t>RCP4.5</t>
        </is>
      </c>
      <c r="C76" t="inlineStr">
        <is>
          <t>2095</t>
        </is>
      </c>
      <c r="D76" s="2" t="n">
        <v>8.902518126</v>
      </c>
    </row>
    <row r="77">
      <c r="A77" t="inlineStr">
        <is>
          <t>Pictou</t>
        </is>
      </c>
      <c r="B77" t="inlineStr">
        <is>
          <t>RCP8.5</t>
        </is>
      </c>
      <c r="C77" t="inlineStr">
        <is>
          <t>2010</t>
        </is>
      </c>
      <c r="D77" s="2" t="n">
        <v>6.237062006</v>
      </c>
    </row>
    <row r="78">
      <c r="A78" t="inlineStr">
        <is>
          <t>Pictou</t>
        </is>
      </c>
      <c r="B78" t="inlineStr">
        <is>
          <t>RCP8.5</t>
        </is>
      </c>
      <c r="C78" t="inlineStr">
        <is>
          <t>2045</t>
        </is>
      </c>
      <c r="D78" s="2" t="n">
        <v>7.632749571</v>
      </c>
    </row>
    <row r="79">
      <c r="A79" t="inlineStr">
        <is>
          <t>Pictou</t>
        </is>
      </c>
      <c r="B79" t="inlineStr">
        <is>
          <t>RCP8.5</t>
        </is>
      </c>
      <c r="C79" t="inlineStr">
        <is>
          <t>2095</t>
        </is>
      </c>
      <c r="D79" s="2" t="n">
        <v>10.89503469</v>
      </c>
    </row>
    <row r="80">
      <c r="A80" t="inlineStr">
        <is>
          <t>Queens</t>
        </is>
      </c>
      <c r="B80" t="inlineStr">
        <is>
          <t>RCP4.5</t>
        </is>
      </c>
      <c r="C80" t="inlineStr">
        <is>
          <t>2010</t>
        </is>
      </c>
      <c r="D80" s="2" t="n">
        <v>7.37390465</v>
      </c>
    </row>
    <row r="81">
      <c r="A81" t="inlineStr">
        <is>
          <t>Queens</t>
        </is>
      </c>
      <c r="B81" t="inlineStr">
        <is>
          <t>RCP4.5</t>
        </is>
      </c>
      <c r="C81" t="inlineStr">
        <is>
          <t>2045</t>
        </is>
      </c>
      <c r="D81" s="2" t="n">
        <v>8.650551979999999</v>
      </c>
    </row>
    <row r="82">
      <c r="A82" t="inlineStr">
        <is>
          <t>Queens</t>
        </is>
      </c>
      <c r="B82" t="inlineStr">
        <is>
          <t>RCP4.5</t>
        </is>
      </c>
      <c r="C82" t="inlineStr">
        <is>
          <t>2095</t>
        </is>
      </c>
      <c r="D82" s="2" t="n">
        <v>9.907260965000001</v>
      </c>
    </row>
    <row r="83">
      <c r="A83" t="inlineStr">
        <is>
          <t>Queens</t>
        </is>
      </c>
      <c r="B83" t="inlineStr">
        <is>
          <t>RCP8.5</t>
        </is>
      </c>
      <c r="C83" t="inlineStr">
        <is>
          <t>2010</t>
        </is>
      </c>
      <c r="D83" s="2" t="n">
        <v>7.386673434</v>
      </c>
    </row>
    <row r="84">
      <c r="A84" t="inlineStr">
        <is>
          <t>Queens</t>
        </is>
      </c>
      <c r="B84" t="inlineStr">
        <is>
          <t>RCP8.5</t>
        </is>
      </c>
      <c r="C84" t="inlineStr">
        <is>
          <t>2045</t>
        </is>
      </c>
      <c r="D84" s="2" t="n">
        <v>8.710654476</v>
      </c>
    </row>
    <row r="85">
      <c r="A85" t="inlineStr">
        <is>
          <t>Queens</t>
        </is>
      </c>
      <c r="B85" t="inlineStr">
        <is>
          <t>RCP8.5</t>
        </is>
      </c>
      <c r="C85" t="inlineStr">
        <is>
          <t>2095</t>
        </is>
      </c>
      <c r="D85" s="2" t="n">
        <v>11.74965107</v>
      </c>
    </row>
    <row r="86">
      <c r="A86" t="inlineStr">
        <is>
          <t>Richmond</t>
        </is>
      </c>
      <c r="B86" t="inlineStr">
        <is>
          <t>RCP4.5</t>
        </is>
      </c>
      <c r="C86" t="inlineStr">
        <is>
          <t>2010</t>
        </is>
      </c>
      <c r="D86" s="2" t="n">
        <v>6.421316443</v>
      </c>
    </row>
    <row r="87">
      <c r="A87" t="inlineStr">
        <is>
          <t>Richmond</t>
        </is>
      </c>
      <c r="B87" t="inlineStr">
        <is>
          <t>RCP4.5</t>
        </is>
      </c>
      <c r="C87" t="inlineStr">
        <is>
          <t>2045</t>
        </is>
      </c>
      <c r="D87" s="2" t="n">
        <v>7.747252089</v>
      </c>
    </row>
    <row r="88">
      <c r="A88" t="inlineStr">
        <is>
          <t>Richmond</t>
        </is>
      </c>
      <c r="B88" t="inlineStr">
        <is>
          <t>RCP4.5</t>
        </is>
      </c>
      <c r="C88" t="inlineStr">
        <is>
          <t>2095</t>
        </is>
      </c>
      <c r="D88" s="2" t="n">
        <v>9.060370556000001</v>
      </c>
    </row>
    <row r="89">
      <c r="A89" t="inlineStr">
        <is>
          <t>Richmond</t>
        </is>
      </c>
      <c r="B89" t="inlineStr">
        <is>
          <t>RCP8.5</t>
        </is>
      </c>
      <c r="C89" t="inlineStr">
        <is>
          <t>2010</t>
        </is>
      </c>
      <c r="D89" s="2" t="n">
        <v>6.429759887</v>
      </c>
    </row>
    <row r="90">
      <c r="A90" t="inlineStr">
        <is>
          <t>Richmond</t>
        </is>
      </c>
      <c r="B90" t="inlineStr">
        <is>
          <t>RCP8.5</t>
        </is>
      </c>
      <c r="C90" t="inlineStr">
        <is>
          <t>2045</t>
        </is>
      </c>
      <c r="D90" s="2" t="n">
        <v>7.74915535</v>
      </c>
    </row>
    <row r="91">
      <c r="A91" t="inlineStr">
        <is>
          <t>Richmond</t>
        </is>
      </c>
      <c r="B91" t="inlineStr">
        <is>
          <t>RCP8.5</t>
        </is>
      </c>
      <c r="C91" t="inlineStr">
        <is>
          <t>2095</t>
        </is>
      </c>
      <c r="D91" s="2" t="n">
        <v>10.97718874</v>
      </c>
    </row>
    <row r="92">
      <c r="A92" t="inlineStr">
        <is>
          <t>Shelburne</t>
        </is>
      </c>
      <c r="B92" t="inlineStr">
        <is>
          <t>RCP4.5</t>
        </is>
      </c>
      <c r="C92" t="inlineStr">
        <is>
          <t>2010</t>
        </is>
      </c>
      <c r="D92" s="2" t="n">
        <v>7.391204233</v>
      </c>
    </row>
    <row r="93">
      <c r="A93" t="inlineStr">
        <is>
          <t>Shelburne</t>
        </is>
      </c>
      <c r="B93" t="inlineStr">
        <is>
          <t>RCP4.5</t>
        </is>
      </c>
      <c r="C93" t="inlineStr">
        <is>
          <t>2045</t>
        </is>
      </c>
      <c r="D93" s="2" t="n">
        <v>8.632780917</v>
      </c>
    </row>
    <row r="94">
      <c r="A94" t="inlineStr">
        <is>
          <t>Shelburne</t>
        </is>
      </c>
      <c r="B94" t="inlineStr">
        <is>
          <t>RCP4.5</t>
        </is>
      </c>
      <c r="C94" t="inlineStr">
        <is>
          <t>2095</t>
        </is>
      </c>
      <c r="D94" s="2" t="n">
        <v>9.853877342000001</v>
      </c>
    </row>
    <row r="95">
      <c r="A95" t="inlineStr">
        <is>
          <t>Shelburne</t>
        </is>
      </c>
      <c r="B95" t="inlineStr">
        <is>
          <t>RCP8.5</t>
        </is>
      </c>
      <c r="C95" t="inlineStr">
        <is>
          <t>2010</t>
        </is>
      </c>
      <c r="D95" s="2" t="n">
        <v>7.3977764</v>
      </c>
    </row>
    <row r="96">
      <c r="A96" t="inlineStr">
        <is>
          <t>Shelburne</t>
        </is>
      </c>
      <c r="B96" t="inlineStr">
        <is>
          <t>RCP8.5</t>
        </is>
      </c>
      <c r="C96" t="inlineStr">
        <is>
          <t>2045</t>
        </is>
      </c>
      <c r="D96" s="2" t="n">
        <v>8.711609942000001</v>
      </c>
    </row>
    <row r="97">
      <c r="A97" t="inlineStr">
        <is>
          <t>Shelburne</t>
        </is>
      </c>
      <c r="B97" t="inlineStr">
        <is>
          <t>RCP8.5</t>
        </is>
      </c>
      <c r="C97" t="inlineStr">
        <is>
          <t>2095</t>
        </is>
      </c>
      <c r="D97" s="2" t="n">
        <v>11.65849039</v>
      </c>
    </row>
    <row r="98">
      <c r="A98" t="inlineStr">
        <is>
          <t>Victoria</t>
        </is>
      </c>
      <c r="B98" t="inlineStr">
        <is>
          <t>RCP4.5</t>
        </is>
      </c>
      <c r="C98" t="inlineStr">
        <is>
          <t>2010</t>
        </is>
      </c>
      <c r="D98" s="2" t="n">
        <v>5.505652052</v>
      </c>
    </row>
    <row r="99">
      <c r="A99" t="inlineStr">
        <is>
          <t>Victoria</t>
        </is>
      </c>
      <c r="B99" t="inlineStr">
        <is>
          <t>RCP4.5</t>
        </is>
      </c>
      <c r="C99" t="inlineStr">
        <is>
          <t>2045</t>
        </is>
      </c>
      <c r="D99" s="2" t="n">
        <v>6.864647379</v>
      </c>
    </row>
    <row r="100">
      <c r="A100" t="inlineStr">
        <is>
          <t>Victoria</t>
        </is>
      </c>
      <c r="B100" t="inlineStr">
        <is>
          <t>RCP4.5</t>
        </is>
      </c>
      <c r="C100" t="inlineStr">
        <is>
          <t>2095</t>
        </is>
      </c>
      <c r="D100" s="2" t="n">
        <v>8.218291696</v>
      </c>
    </row>
    <row r="101">
      <c r="A101" t="inlineStr">
        <is>
          <t>Victoria</t>
        </is>
      </c>
      <c r="B101" t="inlineStr">
        <is>
          <t>RCP8.5</t>
        </is>
      </c>
      <c r="C101" t="inlineStr">
        <is>
          <t>2010</t>
        </is>
      </c>
      <c r="D101" s="2" t="n">
        <v>5.50573272</v>
      </c>
    </row>
    <row r="102">
      <c r="A102" t="inlineStr">
        <is>
          <t>Victoria</t>
        </is>
      </c>
      <c r="B102" t="inlineStr">
        <is>
          <t>RCP8.5</t>
        </is>
      </c>
      <c r="C102" t="inlineStr">
        <is>
          <t>2045</t>
        </is>
      </c>
      <c r="D102" s="2" t="n">
        <v>6.862904716</v>
      </c>
    </row>
    <row r="103">
      <c r="A103" t="inlineStr">
        <is>
          <t>Victoria</t>
        </is>
      </c>
      <c r="B103" t="inlineStr">
        <is>
          <t>RCP8.5</t>
        </is>
      </c>
      <c r="C103" t="inlineStr">
        <is>
          <t>2095</t>
        </is>
      </c>
      <c r="D103" s="2" t="n">
        <v>10.17354496</v>
      </c>
    </row>
    <row r="104">
      <c r="A104" t="inlineStr">
        <is>
          <t>Yarmouth</t>
        </is>
      </c>
      <c r="B104" t="inlineStr">
        <is>
          <t>RCP4.5</t>
        </is>
      </c>
      <c r="C104" t="inlineStr">
        <is>
          <t>2010</t>
        </is>
      </c>
      <c r="D104" s="2" t="n">
        <v>7.404701172</v>
      </c>
    </row>
    <row r="105">
      <c r="A105" t="inlineStr">
        <is>
          <t>Yarmouth</t>
        </is>
      </c>
      <c r="B105" t="inlineStr">
        <is>
          <t>RCP4.5</t>
        </is>
      </c>
      <c r="C105" t="inlineStr">
        <is>
          <t>2045</t>
        </is>
      </c>
      <c r="D105" s="2" t="n">
        <v>8.677865997</v>
      </c>
    </row>
    <row r="106">
      <c r="A106" t="inlineStr">
        <is>
          <t>Yarmouth</t>
        </is>
      </c>
      <c r="B106" t="inlineStr">
        <is>
          <t>RCP4.5</t>
        </is>
      </c>
      <c r="C106" t="inlineStr">
        <is>
          <t>2095</t>
        </is>
      </c>
      <c r="D106" s="2" t="n">
        <v>9.916454676000001</v>
      </c>
    </row>
    <row r="107">
      <c r="A107" t="inlineStr">
        <is>
          <t>Yarmouth</t>
        </is>
      </c>
      <c r="B107" t="inlineStr">
        <is>
          <t>RCP8.5</t>
        </is>
      </c>
      <c r="C107" t="inlineStr">
        <is>
          <t>2010</t>
        </is>
      </c>
      <c r="D107" s="2" t="n">
        <v>7.414141183</v>
      </c>
    </row>
    <row r="108">
      <c r="A108" t="inlineStr">
        <is>
          <t>Yarmouth</t>
        </is>
      </c>
      <c r="B108" t="inlineStr">
        <is>
          <t>RCP8.5</t>
        </is>
      </c>
      <c r="C108" t="inlineStr">
        <is>
          <t>2045</t>
        </is>
      </c>
      <c r="D108" s="2" t="n">
        <v>8.750548800000001</v>
      </c>
    </row>
    <row r="109">
      <c r="A109" t="inlineStr">
        <is>
          <t>Yarmouth</t>
        </is>
      </c>
      <c r="B109" t="inlineStr">
        <is>
          <t>RCP8.5</t>
        </is>
      </c>
      <c r="C109" t="inlineStr">
        <is>
          <t>2095</t>
        </is>
      </c>
      <c r="D109" s="2" t="n">
        <v>11.7530712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3" t="inlineStr">
        <is>
          <t>Climate-projection summary: annual mean temperature deltas by county (degC, CMIP5 p50)</t>
        </is>
      </c>
    </row>
    <row r="3">
      <c r="A3" s="1" t="inlineStr">
        <is>
          <t>Region</t>
        </is>
      </c>
      <c r="B3" s="1" t="inlineStr">
        <is>
          <t>Baseline RCP4.5 (1981-2010)</t>
        </is>
      </c>
      <c r="C3" s="1" t="inlineStr">
        <is>
          <t>Baseline RCP8.5 (1981-2010)</t>
        </is>
      </c>
      <c r="D3" s="1" t="inlineStr">
        <is>
          <t>RCP4.5 2045</t>
        </is>
      </c>
      <c r="E3" s="1" t="inlineStr">
        <is>
          <t>RCP8.5 2045</t>
        </is>
      </c>
      <c r="F3" s="1" t="inlineStr">
        <is>
          <t>RCP4.5 2095</t>
        </is>
      </c>
      <c r="G3" s="1" t="inlineStr">
        <is>
          <t>RCP8.5 2095</t>
        </is>
      </c>
      <c r="H3" s="1" t="inlineStr">
        <is>
          <t>Delta RCP4.5 2045</t>
        </is>
      </c>
      <c r="I3" s="1" t="inlineStr">
        <is>
          <t>Delta RCP8.5 2045</t>
        </is>
      </c>
      <c r="J3" s="1" t="inlineStr">
        <is>
          <t>Delta RCP4.5 2095</t>
        </is>
      </c>
      <c r="K3" s="1" t="inlineStr">
        <is>
          <t>Delta RCP8.5 2095</t>
        </is>
      </c>
      <c r="L3" s="1" t="inlineStr">
        <is>
          <t>Sort key</t>
        </is>
      </c>
    </row>
    <row r="4">
      <c r="A4" t="inlineStr">
        <is>
          <t>Annapolis</t>
        </is>
      </c>
      <c r="B4" s="2">
        <f>IF(COUNTIFS(Data!$A:$A,$A4,Data!$B:$B,"RCP4.5",Data!$C:$C,"2010")=0,"n/a",ROUND(AVERAGEIFS(Data!$D:$D,Data!$A:$A,$A4,Data!$B:$B,"RCP4.5",Data!$C:$C,"2010"),2))</f>
        <v/>
      </c>
      <c r="C4" s="2">
        <f>IF(COUNTIFS(Data!$A:$A,$A4,Data!$B:$B,"RCP8.5",Data!$C:$C,"2010")=0,"n/a",ROUND(AVERAGEIFS(Data!$D:$D,Data!$A:$A,$A4,Data!$B:$B,"RCP8.5",Data!$C:$C,"2010"),2))</f>
        <v/>
      </c>
      <c r="D4" s="2">
        <f>IF(COUNTIFS(Data!$A:$A,$A4,Data!$B:$B,"RCP4.5",Data!$C:$C,"2045")=0,"n/a",ROUND(AVERAGEIFS(Data!$D:$D,Data!$A:$A,$A4,Data!$B:$B,"RCP4.5",Data!$C:$C,"2045"),2))</f>
        <v/>
      </c>
      <c r="E4" s="2">
        <f>IF(COUNTIFS(Data!$A:$A,$A4,Data!$B:$B,"RCP8.5",Data!$C:$C,"2045")=0,"n/a",ROUND(AVERAGEIFS(Data!$D:$D,Data!$A:$A,$A4,Data!$B:$B,"RCP8.5",Data!$C:$C,"2045"),2))</f>
        <v/>
      </c>
      <c r="F4" s="2">
        <f>IF(COUNTIFS(Data!$A:$A,$A4,Data!$B:$B,"RCP4.5",Data!$C:$C,"2095")=0,"n/a",ROUND(AVERAGEIFS(Data!$D:$D,Data!$A:$A,$A4,Data!$B:$B,"RCP4.5",Data!$C:$C,"2095"),2))</f>
        <v/>
      </c>
      <c r="G4" s="2">
        <f>IF(COUNTIFS(Data!$A:$A,$A4,Data!$B:$B,"RCP8.5",Data!$C:$C,"2095")=0,"n/a",ROUND(AVERAGEIFS(Data!$D:$D,Data!$A:$A,$A4,Data!$B:$B,"RCP8.5",Data!$C:$C,"2095"),2))</f>
        <v/>
      </c>
      <c r="H4" s="2">
        <f>IF(OR(ISTEXT(B4),ISTEXT(D4)),"n/a",ROUND(D4-B4,2))</f>
        <v/>
      </c>
      <c r="I4" s="2">
        <f>IF(OR(ISTEXT(C4),ISTEXT(E4)),"n/a",ROUND(E4-C4,2))</f>
        <v/>
      </c>
      <c r="J4" s="2">
        <f>IF(OR(ISTEXT(B4),ISTEXT(F4)),"n/a",ROUND(F4-B4,2))</f>
        <v/>
      </c>
      <c r="K4" s="2">
        <f>IF(OR(ISTEXT(C4),ISTEXT(G4)),"n/a",ROUND(G4-C4,2))</f>
        <v/>
      </c>
      <c r="L4" s="4">
        <f>IF(ISTEXT($K4),"n/a",ROUND($K4*100,0)*1000+(21-ROW()))</f>
        <v/>
      </c>
    </row>
    <row r="5">
      <c r="A5" t="inlineStr">
        <is>
          <t>Antigonish</t>
        </is>
      </c>
      <c r="B5" s="2">
        <f>IF(COUNTIFS(Data!$A:$A,$A5,Data!$B:$B,"RCP4.5",Data!$C:$C,"2010")=0,"n/a",ROUND(AVERAGEIFS(Data!$D:$D,Data!$A:$A,$A5,Data!$B:$B,"RCP4.5",Data!$C:$C,"2010"),2))</f>
        <v/>
      </c>
      <c r="C5" s="2">
        <f>IF(COUNTIFS(Data!$A:$A,$A5,Data!$B:$B,"RCP8.5",Data!$C:$C,"2010")=0,"n/a",ROUND(AVERAGEIFS(Data!$D:$D,Data!$A:$A,$A5,Data!$B:$B,"RCP8.5",Data!$C:$C,"2010"),2))</f>
        <v/>
      </c>
      <c r="D5" s="2">
        <f>IF(COUNTIFS(Data!$A:$A,$A5,Data!$B:$B,"RCP4.5",Data!$C:$C,"2045")=0,"n/a",ROUND(AVERAGEIFS(Data!$D:$D,Data!$A:$A,$A5,Data!$B:$B,"RCP4.5",Data!$C:$C,"2045"),2))</f>
        <v/>
      </c>
      <c r="E5" s="2">
        <f>IF(COUNTIFS(Data!$A:$A,$A5,Data!$B:$B,"RCP8.5",Data!$C:$C,"2045")=0,"n/a",ROUND(AVERAGEIFS(Data!$D:$D,Data!$A:$A,$A5,Data!$B:$B,"RCP8.5",Data!$C:$C,"2045"),2))</f>
        <v/>
      </c>
      <c r="F5" s="2">
        <f>IF(COUNTIFS(Data!$A:$A,$A5,Data!$B:$B,"RCP4.5",Data!$C:$C,"2095")=0,"n/a",ROUND(AVERAGEIFS(Data!$D:$D,Data!$A:$A,$A5,Data!$B:$B,"RCP4.5",Data!$C:$C,"2095"),2))</f>
        <v/>
      </c>
      <c r="G5" s="2">
        <f>IF(COUNTIFS(Data!$A:$A,$A5,Data!$B:$B,"RCP8.5",Data!$C:$C,"2095")=0,"n/a",ROUND(AVERAGEIFS(Data!$D:$D,Data!$A:$A,$A5,Data!$B:$B,"RCP8.5",Data!$C:$C,"2095"),2))</f>
        <v/>
      </c>
      <c r="H5" s="2">
        <f>IF(OR(ISTEXT(B5),ISTEXT(D5)),"n/a",ROUND(D5-B5,2))</f>
        <v/>
      </c>
      <c r="I5" s="2">
        <f>IF(OR(ISTEXT(C5),ISTEXT(E5)),"n/a",ROUND(E5-C5,2))</f>
        <v/>
      </c>
      <c r="J5" s="2">
        <f>IF(OR(ISTEXT(B5),ISTEXT(F5)),"n/a",ROUND(F5-B5,2))</f>
        <v/>
      </c>
      <c r="K5" s="2">
        <f>IF(OR(ISTEXT(C5),ISTEXT(G5)),"n/a",ROUND(G5-C5,2))</f>
        <v/>
      </c>
      <c r="L5" s="4">
        <f>IF(ISTEXT($K5),"n/a",ROUND($K5*100,0)*1000+(21-ROW()))</f>
        <v/>
      </c>
    </row>
    <row r="6">
      <c r="A6" t="inlineStr">
        <is>
          <t>Cape Breton</t>
        </is>
      </c>
      <c r="B6" s="2">
        <f>IF(COUNTIFS(Data!$A:$A,$A6,Data!$B:$B,"RCP4.5",Data!$C:$C,"2010")=0,"n/a",ROUND(AVERAGEIFS(Data!$D:$D,Data!$A:$A,$A6,Data!$B:$B,"RCP4.5",Data!$C:$C,"2010"),2))</f>
        <v/>
      </c>
      <c r="C6" s="2">
        <f>IF(COUNTIFS(Data!$A:$A,$A6,Data!$B:$B,"RCP8.5",Data!$C:$C,"2010")=0,"n/a",ROUND(AVERAGEIFS(Data!$D:$D,Data!$A:$A,$A6,Data!$B:$B,"RCP8.5",Data!$C:$C,"2010"),2))</f>
        <v/>
      </c>
      <c r="D6" s="2">
        <f>IF(COUNTIFS(Data!$A:$A,$A6,Data!$B:$B,"RCP4.5",Data!$C:$C,"2045")=0,"n/a",ROUND(AVERAGEIFS(Data!$D:$D,Data!$A:$A,$A6,Data!$B:$B,"RCP4.5",Data!$C:$C,"2045"),2))</f>
        <v/>
      </c>
      <c r="E6" s="2">
        <f>IF(COUNTIFS(Data!$A:$A,$A6,Data!$B:$B,"RCP8.5",Data!$C:$C,"2045")=0,"n/a",ROUND(AVERAGEIFS(Data!$D:$D,Data!$A:$A,$A6,Data!$B:$B,"RCP8.5",Data!$C:$C,"2045"),2))</f>
        <v/>
      </c>
      <c r="F6" s="2">
        <f>IF(COUNTIFS(Data!$A:$A,$A6,Data!$B:$B,"RCP4.5",Data!$C:$C,"2095")=0,"n/a",ROUND(AVERAGEIFS(Data!$D:$D,Data!$A:$A,$A6,Data!$B:$B,"RCP4.5",Data!$C:$C,"2095"),2))</f>
        <v/>
      </c>
      <c r="G6" s="2">
        <f>IF(COUNTIFS(Data!$A:$A,$A6,Data!$B:$B,"RCP8.5",Data!$C:$C,"2095")=0,"n/a",ROUND(AVERAGEIFS(Data!$D:$D,Data!$A:$A,$A6,Data!$B:$B,"RCP8.5",Data!$C:$C,"2095"),2))</f>
        <v/>
      </c>
      <c r="H6" s="2">
        <f>IF(OR(ISTEXT(B6),ISTEXT(D6)),"n/a",ROUND(D6-B6,2))</f>
        <v/>
      </c>
      <c r="I6" s="2">
        <f>IF(OR(ISTEXT(C6),ISTEXT(E6)),"n/a",ROUND(E6-C6,2))</f>
        <v/>
      </c>
      <c r="J6" s="2">
        <f>IF(OR(ISTEXT(B6),ISTEXT(F6)),"n/a",ROUND(F6-B6,2))</f>
        <v/>
      </c>
      <c r="K6" s="2">
        <f>IF(OR(ISTEXT(C6),ISTEXT(G6)),"n/a",ROUND(G6-C6,2))</f>
        <v/>
      </c>
      <c r="L6" s="4">
        <f>IF(ISTEXT($K6),"n/a",ROUND($K6*100,0)*1000+(21-ROW()))</f>
        <v/>
      </c>
    </row>
    <row r="7">
      <c r="A7" t="inlineStr">
        <is>
          <t>Colchester</t>
        </is>
      </c>
      <c r="B7" s="2">
        <f>IF(COUNTIFS(Data!$A:$A,$A7,Data!$B:$B,"RCP4.5",Data!$C:$C,"2010")=0,"n/a",ROUND(AVERAGEIFS(Data!$D:$D,Data!$A:$A,$A7,Data!$B:$B,"RCP4.5",Data!$C:$C,"2010"),2))</f>
        <v/>
      </c>
      <c r="C7" s="2">
        <f>IF(COUNTIFS(Data!$A:$A,$A7,Data!$B:$B,"RCP8.5",Data!$C:$C,"2010")=0,"n/a",ROUND(AVERAGEIFS(Data!$D:$D,Data!$A:$A,$A7,Data!$B:$B,"RCP8.5",Data!$C:$C,"2010"),2))</f>
        <v/>
      </c>
      <c r="D7" s="2">
        <f>IF(COUNTIFS(Data!$A:$A,$A7,Data!$B:$B,"RCP4.5",Data!$C:$C,"2045")=0,"n/a",ROUND(AVERAGEIFS(Data!$D:$D,Data!$A:$A,$A7,Data!$B:$B,"RCP4.5",Data!$C:$C,"2045"),2))</f>
        <v/>
      </c>
      <c r="E7" s="2">
        <f>IF(COUNTIFS(Data!$A:$A,$A7,Data!$B:$B,"RCP8.5",Data!$C:$C,"2045")=0,"n/a",ROUND(AVERAGEIFS(Data!$D:$D,Data!$A:$A,$A7,Data!$B:$B,"RCP8.5",Data!$C:$C,"2045"),2))</f>
        <v/>
      </c>
      <c r="F7" s="2">
        <f>IF(COUNTIFS(Data!$A:$A,$A7,Data!$B:$B,"RCP4.5",Data!$C:$C,"2095")=0,"n/a",ROUND(AVERAGEIFS(Data!$D:$D,Data!$A:$A,$A7,Data!$B:$B,"RCP4.5",Data!$C:$C,"2095"),2))</f>
        <v/>
      </c>
      <c r="G7" s="2">
        <f>IF(COUNTIFS(Data!$A:$A,$A7,Data!$B:$B,"RCP8.5",Data!$C:$C,"2095")=0,"n/a",ROUND(AVERAGEIFS(Data!$D:$D,Data!$A:$A,$A7,Data!$B:$B,"RCP8.5",Data!$C:$C,"2095"),2))</f>
        <v/>
      </c>
      <c r="H7" s="2">
        <f>IF(OR(ISTEXT(B7),ISTEXT(D7)),"n/a",ROUND(D7-B7,2))</f>
        <v/>
      </c>
      <c r="I7" s="2">
        <f>IF(OR(ISTEXT(C7),ISTEXT(E7)),"n/a",ROUND(E7-C7,2))</f>
        <v/>
      </c>
      <c r="J7" s="2">
        <f>IF(OR(ISTEXT(B7),ISTEXT(F7)),"n/a",ROUND(F7-B7,2))</f>
        <v/>
      </c>
      <c r="K7" s="2">
        <f>IF(OR(ISTEXT(C7),ISTEXT(G7)),"n/a",ROUND(G7-C7,2))</f>
        <v/>
      </c>
      <c r="L7" s="4">
        <f>IF(ISTEXT($K7),"n/a",ROUND($K7*100,0)*1000+(21-ROW()))</f>
        <v/>
      </c>
    </row>
    <row r="8">
      <c r="A8" t="inlineStr">
        <is>
          <t>Cumberland</t>
        </is>
      </c>
      <c r="B8" s="2">
        <f>IF(COUNTIFS(Data!$A:$A,$A8,Data!$B:$B,"RCP4.5",Data!$C:$C,"2010")=0,"n/a",ROUND(AVERAGEIFS(Data!$D:$D,Data!$A:$A,$A8,Data!$B:$B,"RCP4.5",Data!$C:$C,"2010"),2))</f>
        <v/>
      </c>
      <c r="C8" s="2">
        <f>IF(COUNTIFS(Data!$A:$A,$A8,Data!$B:$B,"RCP8.5",Data!$C:$C,"2010")=0,"n/a",ROUND(AVERAGEIFS(Data!$D:$D,Data!$A:$A,$A8,Data!$B:$B,"RCP8.5",Data!$C:$C,"2010"),2))</f>
        <v/>
      </c>
      <c r="D8" s="2">
        <f>IF(COUNTIFS(Data!$A:$A,$A8,Data!$B:$B,"RCP4.5",Data!$C:$C,"2045")=0,"n/a",ROUND(AVERAGEIFS(Data!$D:$D,Data!$A:$A,$A8,Data!$B:$B,"RCP4.5",Data!$C:$C,"2045"),2))</f>
        <v/>
      </c>
      <c r="E8" s="2">
        <f>IF(COUNTIFS(Data!$A:$A,$A8,Data!$B:$B,"RCP8.5",Data!$C:$C,"2045")=0,"n/a",ROUND(AVERAGEIFS(Data!$D:$D,Data!$A:$A,$A8,Data!$B:$B,"RCP8.5",Data!$C:$C,"2045"),2))</f>
        <v/>
      </c>
      <c r="F8" s="2">
        <f>IF(COUNTIFS(Data!$A:$A,$A8,Data!$B:$B,"RCP4.5",Data!$C:$C,"2095")=0,"n/a",ROUND(AVERAGEIFS(Data!$D:$D,Data!$A:$A,$A8,Data!$B:$B,"RCP4.5",Data!$C:$C,"2095"),2))</f>
        <v/>
      </c>
      <c r="G8" s="2">
        <f>IF(COUNTIFS(Data!$A:$A,$A8,Data!$B:$B,"RCP8.5",Data!$C:$C,"2095")=0,"n/a",ROUND(AVERAGEIFS(Data!$D:$D,Data!$A:$A,$A8,Data!$B:$B,"RCP8.5",Data!$C:$C,"2095"),2))</f>
        <v/>
      </c>
      <c r="H8" s="2">
        <f>IF(OR(ISTEXT(B8),ISTEXT(D8)),"n/a",ROUND(D8-B8,2))</f>
        <v/>
      </c>
      <c r="I8" s="2">
        <f>IF(OR(ISTEXT(C8),ISTEXT(E8)),"n/a",ROUND(E8-C8,2))</f>
        <v/>
      </c>
      <c r="J8" s="2">
        <f>IF(OR(ISTEXT(B8),ISTEXT(F8)),"n/a",ROUND(F8-B8,2))</f>
        <v/>
      </c>
      <c r="K8" s="2">
        <f>IF(OR(ISTEXT(C8),ISTEXT(G8)),"n/a",ROUND(G8-C8,2))</f>
        <v/>
      </c>
      <c r="L8" s="4">
        <f>IF(ISTEXT($K8),"n/a",ROUND($K8*100,0)*1000+(21-ROW()))</f>
        <v/>
      </c>
    </row>
    <row r="9">
      <c r="A9" t="inlineStr">
        <is>
          <t>Digby</t>
        </is>
      </c>
      <c r="B9" s="2">
        <f>IF(COUNTIFS(Data!$A:$A,$A9,Data!$B:$B,"RCP4.5",Data!$C:$C,"2010")=0,"n/a",ROUND(AVERAGEIFS(Data!$D:$D,Data!$A:$A,$A9,Data!$B:$B,"RCP4.5",Data!$C:$C,"2010"),2))</f>
        <v/>
      </c>
      <c r="C9" s="2">
        <f>IF(COUNTIFS(Data!$A:$A,$A9,Data!$B:$B,"RCP8.5",Data!$C:$C,"2010")=0,"n/a",ROUND(AVERAGEIFS(Data!$D:$D,Data!$A:$A,$A9,Data!$B:$B,"RCP8.5",Data!$C:$C,"2010"),2))</f>
        <v/>
      </c>
      <c r="D9" s="2">
        <f>IF(COUNTIFS(Data!$A:$A,$A9,Data!$B:$B,"RCP4.5",Data!$C:$C,"2045")=0,"n/a",ROUND(AVERAGEIFS(Data!$D:$D,Data!$A:$A,$A9,Data!$B:$B,"RCP4.5",Data!$C:$C,"2045"),2))</f>
        <v/>
      </c>
      <c r="E9" s="2">
        <f>IF(COUNTIFS(Data!$A:$A,$A9,Data!$B:$B,"RCP8.5",Data!$C:$C,"2045")=0,"n/a",ROUND(AVERAGEIFS(Data!$D:$D,Data!$A:$A,$A9,Data!$B:$B,"RCP8.5",Data!$C:$C,"2045"),2))</f>
        <v/>
      </c>
      <c r="F9" s="2">
        <f>IF(COUNTIFS(Data!$A:$A,$A9,Data!$B:$B,"RCP4.5",Data!$C:$C,"2095")=0,"n/a",ROUND(AVERAGEIFS(Data!$D:$D,Data!$A:$A,$A9,Data!$B:$B,"RCP4.5",Data!$C:$C,"2095"),2))</f>
        <v/>
      </c>
      <c r="G9" s="2">
        <f>IF(COUNTIFS(Data!$A:$A,$A9,Data!$B:$B,"RCP8.5",Data!$C:$C,"2095")=0,"n/a",ROUND(AVERAGEIFS(Data!$D:$D,Data!$A:$A,$A9,Data!$B:$B,"RCP8.5",Data!$C:$C,"2095"),2))</f>
        <v/>
      </c>
      <c r="H9" s="2">
        <f>IF(OR(ISTEXT(B9),ISTEXT(D9)),"n/a",ROUND(D9-B9,2))</f>
        <v/>
      </c>
      <c r="I9" s="2">
        <f>IF(OR(ISTEXT(C9),ISTEXT(E9)),"n/a",ROUND(E9-C9,2))</f>
        <v/>
      </c>
      <c r="J9" s="2">
        <f>IF(OR(ISTEXT(B9),ISTEXT(F9)),"n/a",ROUND(F9-B9,2))</f>
        <v/>
      </c>
      <c r="K9" s="2">
        <f>IF(OR(ISTEXT(C9),ISTEXT(G9)),"n/a",ROUND(G9-C9,2))</f>
        <v/>
      </c>
      <c r="L9" s="4">
        <f>IF(ISTEXT($K9),"n/a",ROUND($K9*100,0)*1000+(21-ROW()))</f>
        <v/>
      </c>
    </row>
    <row r="10">
      <c r="A10" t="inlineStr">
        <is>
          <t>Guysborough</t>
        </is>
      </c>
      <c r="B10" s="2">
        <f>IF(COUNTIFS(Data!$A:$A,$A10,Data!$B:$B,"RCP4.5",Data!$C:$C,"2010")=0,"n/a",ROUND(AVERAGEIFS(Data!$D:$D,Data!$A:$A,$A10,Data!$B:$B,"RCP4.5",Data!$C:$C,"2010"),2))</f>
        <v/>
      </c>
      <c r="C10" s="2">
        <f>IF(COUNTIFS(Data!$A:$A,$A10,Data!$B:$B,"RCP8.5",Data!$C:$C,"2010")=0,"n/a",ROUND(AVERAGEIFS(Data!$D:$D,Data!$A:$A,$A10,Data!$B:$B,"RCP8.5",Data!$C:$C,"2010"),2))</f>
        <v/>
      </c>
      <c r="D10" s="2">
        <f>IF(COUNTIFS(Data!$A:$A,$A10,Data!$B:$B,"RCP4.5",Data!$C:$C,"2045")=0,"n/a",ROUND(AVERAGEIFS(Data!$D:$D,Data!$A:$A,$A10,Data!$B:$B,"RCP4.5",Data!$C:$C,"2045"),2))</f>
        <v/>
      </c>
      <c r="E10" s="2">
        <f>IF(COUNTIFS(Data!$A:$A,$A10,Data!$B:$B,"RCP8.5",Data!$C:$C,"2045")=0,"n/a",ROUND(AVERAGEIFS(Data!$D:$D,Data!$A:$A,$A10,Data!$B:$B,"RCP8.5",Data!$C:$C,"2045"),2))</f>
        <v/>
      </c>
      <c r="F10" s="2">
        <f>IF(COUNTIFS(Data!$A:$A,$A10,Data!$B:$B,"RCP4.5",Data!$C:$C,"2095")=0,"n/a",ROUND(AVERAGEIFS(Data!$D:$D,Data!$A:$A,$A10,Data!$B:$B,"RCP4.5",Data!$C:$C,"2095"),2))</f>
        <v/>
      </c>
      <c r="G10" s="2">
        <f>IF(COUNTIFS(Data!$A:$A,$A10,Data!$B:$B,"RCP8.5",Data!$C:$C,"2095")=0,"n/a",ROUND(AVERAGEIFS(Data!$D:$D,Data!$A:$A,$A10,Data!$B:$B,"RCP8.5",Data!$C:$C,"2095"),2))</f>
        <v/>
      </c>
      <c r="H10" s="2">
        <f>IF(OR(ISTEXT(B10),ISTEXT(D10)),"n/a",ROUND(D10-B10,2))</f>
        <v/>
      </c>
      <c r="I10" s="2">
        <f>IF(OR(ISTEXT(C10),ISTEXT(E10)),"n/a",ROUND(E10-C10,2))</f>
        <v/>
      </c>
      <c r="J10" s="2">
        <f>IF(OR(ISTEXT(B10),ISTEXT(F10)),"n/a",ROUND(F10-B10,2))</f>
        <v/>
      </c>
      <c r="K10" s="2">
        <f>IF(OR(ISTEXT(C10),ISTEXT(G10)),"n/a",ROUND(G10-C10,2))</f>
        <v/>
      </c>
      <c r="L10" s="4">
        <f>IF(ISTEXT($K10),"n/a",ROUND($K10*100,0)*1000+(21-ROW()))</f>
        <v/>
      </c>
    </row>
    <row r="11">
      <c r="A11" t="inlineStr">
        <is>
          <t>Halifax</t>
        </is>
      </c>
      <c r="B11" s="2">
        <f>IF(COUNTIFS(Data!$A:$A,$A11,Data!$B:$B,"RCP4.5",Data!$C:$C,"2010")=0,"n/a",ROUND(AVERAGEIFS(Data!$D:$D,Data!$A:$A,$A11,Data!$B:$B,"RCP4.5",Data!$C:$C,"2010"),2))</f>
        <v/>
      </c>
      <c r="C11" s="2">
        <f>IF(COUNTIFS(Data!$A:$A,$A11,Data!$B:$B,"RCP8.5",Data!$C:$C,"2010")=0,"n/a",ROUND(AVERAGEIFS(Data!$D:$D,Data!$A:$A,$A11,Data!$B:$B,"RCP8.5",Data!$C:$C,"2010"),2))</f>
        <v/>
      </c>
      <c r="D11" s="2">
        <f>IF(COUNTIFS(Data!$A:$A,$A11,Data!$B:$B,"RCP4.5",Data!$C:$C,"2045")=0,"n/a",ROUND(AVERAGEIFS(Data!$D:$D,Data!$A:$A,$A11,Data!$B:$B,"RCP4.5",Data!$C:$C,"2045"),2))</f>
        <v/>
      </c>
      <c r="E11" s="2">
        <f>IF(COUNTIFS(Data!$A:$A,$A11,Data!$B:$B,"RCP8.5",Data!$C:$C,"2045")=0,"n/a",ROUND(AVERAGEIFS(Data!$D:$D,Data!$A:$A,$A11,Data!$B:$B,"RCP8.5",Data!$C:$C,"2045"),2))</f>
        <v/>
      </c>
      <c r="F11" s="2">
        <f>IF(COUNTIFS(Data!$A:$A,$A11,Data!$B:$B,"RCP4.5",Data!$C:$C,"2095")=0,"n/a",ROUND(AVERAGEIFS(Data!$D:$D,Data!$A:$A,$A11,Data!$B:$B,"RCP4.5",Data!$C:$C,"2095"),2))</f>
        <v/>
      </c>
      <c r="G11" s="2">
        <f>IF(COUNTIFS(Data!$A:$A,$A11,Data!$B:$B,"RCP8.5",Data!$C:$C,"2095")=0,"n/a",ROUND(AVERAGEIFS(Data!$D:$D,Data!$A:$A,$A11,Data!$B:$B,"RCP8.5",Data!$C:$C,"2095"),2))</f>
        <v/>
      </c>
      <c r="H11" s="2">
        <f>IF(OR(ISTEXT(B11),ISTEXT(D11)),"n/a",ROUND(D11-B11,2))</f>
        <v/>
      </c>
      <c r="I11" s="2">
        <f>IF(OR(ISTEXT(C11),ISTEXT(E11)),"n/a",ROUND(E11-C11,2))</f>
        <v/>
      </c>
      <c r="J11" s="2">
        <f>IF(OR(ISTEXT(B11),ISTEXT(F11)),"n/a",ROUND(F11-B11,2))</f>
        <v/>
      </c>
      <c r="K11" s="2">
        <f>IF(OR(ISTEXT(C11),ISTEXT(G11)),"n/a",ROUND(G11-C11,2))</f>
        <v/>
      </c>
      <c r="L11" s="4">
        <f>IF(ISTEXT($K11),"n/a",ROUND($K11*100,0)*1000+(21-ROW()))</f>
        <v/>
      </c>
    </row>
    <row r="12">
      <c r="A12" t="inlineStr">
        <is>
          <t>Hants</t>
        </is>
      </c>
      <c r="B12" s="2">
        <f>IF(COUNTIFS(Data!$A:$A,$A12,Data!$B:$B,"RCP4.5",Data!$C:$C,"2010")=0,"n/a",ROUND(AVERAGEIFS(Data!$D:$D,Data!$A:$A,$A12,Data!$B:$B,"RCP4.5",Data!$C:$C,"2010"),2))</f>
        <v/>
      </c>
      <c r="C12" s="2">
        <f>IF(COUNTIFS(Data!$A:$A,$A12,Data!$B:$B,"RCP8.5",Data!$C:$C,"2010")=0,"n/a",ROUND(AVERAGEIFS(Data!$D:$D,Data!$A:$A,$A12,Data!$B:$B,"RCP8.5",Data!$C:$C,"2010"),2))</f>
        <v/>
      </c>
      <c r="D12" s="2">
        <f>IF(COUNTIFS(Data!$A:$A,$A12,Data!$B:$B,"RCP4.5",Data!$C:$C,"2045")=0,"n/a",ROUND(AVERAGEIFS(Data!$D:$D,Data!$A:$A,$A12,Data!$B:$B,"RCP4.5",Data!$C:$C,"2045"),2))</f>
        <v/>
      </c>
      <c r="E12" s="2">
        <f>IF(COUNTIFS(Data!$A:$A,$A12,Data!$B:$B,"RCP8.5",Data!$C:$C,"2045")=0,"n/a",ROUND(AVERAGEIFS(Data!$D:$D,Data!$A:$A,$A12,Data!$B:$B,"RCP8.5",Data!$C:$C,"2045"),2))</f>
        <v/>
      </c>
      <c r="F12" s="2">
        <f>IF(COUNTIFS(Data!$A:$A,$A12,Data!$B:$B,"RCP4.5",Data!$C:$C,"2095")=0,"n/a",ROUND(AVERAGEIFS(Data!$D:$D,Data!$A:$A,$A12,Data!$B:$B,"RCP4.5",Data!$C:$C,"2095"),2))</f>
        <v/>
      </c>
      <c r="G12" s="2">
        <f>IF(COUNTIFS(Data!$A:$A,$A12,Data!$B:$B,"RCP8.5",Data!$C:$C,"2095")=0,"n/a",ROUND(AVERAGEIFS(Data!$D:$D,Data!$A:$A,$A12,Data!$B:$B,"RCP8.5",Data!$C:$C,"2095"),2))</f>
        <v/>
      </c>
      <c r="H12" s="2">
        <f>IF(OR(ISTEXT(B12),ISTEXT(D12)),"n/a",ROUND(D12-B12,2))</f>
        <v/>
      </c>
      <c r="I12" s="2">
        <f>IF(OR(ISTEXT(C12),ISTEXT(E12)),"n/a",ROUND(E12-C12,2))</f>
        <v/>
      </c>
      <c r="J12" s="2">
        <f>IF(OR(ISTEXT(B12),ISTEXT(F12)),"n/a",ROUND(F12-B12,2))</f>
        <v/>
      </c>
      <c r="K12" s="2">
        <f>IF(OR(ISTEXT(C12),ISTEXT(G12)),"n/a",ROUND(G12-C12,2))</f>
        <v/>
      </c>
      <c r="L12" s="4">
        <f>IF(ISTEXT($K12),"n/a",ROUND($K12*100,0)*1000+(21-ROW()))</f>
        <v/>
      </c>
    </row>
    <row r="13">
      <c r="A13" t="inlineStr">
        <is>
          <t>Inverness</t>
        </is>
      </c>
      <c r="B13" s="2">
        <f>IF(COUNTIFS(Data!$A:$A,$A13,Data!$B:$B,"RCP4.5",Data!$C:$C,"2010")=0,"n/a",ROUND(AVERAGEIFS(Data!$D:$D,Data!$A:$A,$A13,Data!$B:$B,"RCP4.5",Data!$C:$C,"2010"),2))</f>
        <v/>
      </c>
      <c r="C13" s="2">
        <f>IF(COUNTIFS(Data!$A:$A,$A13,Data!$B:$B,"RCP8.5",Data!$C:$C,"2010")=0,"n/a",ROUND(AVERAGEIFS(Data!$D:$D,Data!$A:$A,$A13,Data!$B:$B,"RCP8.5",Data!$C:$C,"2010"),2))</f>
        <v/>
      </c>
      <c r="D13" s="2">
        <f>IF(COUNTIFS(Data!$A:$A,$A13,Data!$B:$B,"RCP4.5",Data!$C:$C,"2045")=0,"n/a",ROUND(AVERAGEIFS(Data!$D:$D,Data!$A:$A,$A13,Data!$B:$B,"RCP4.5",Data!$C:$C,"2045"),2))</f>
        <v/>
      </c>
      <c r="E13" s="2">
        <f>IF(COUNTIFS(Data!$A:$A,$A13,Data!$B:$B,"RCP8.5",Data!$C:$C,"2045")=0,"n/a",ROUND(AVERAGEIFS(Data!$D:$D,Data!$A:$A,$A13,Data!$B:$B,"RCP8.5",Data!$C:$C,"2045"),2))</f>
        <v/>
      </c>
      <c r="F13" s="2">
        <f>IF(COUNTIFS(Data!$A:$A,$A13,Data!$B:$B,"RCP4.5",Data!$C:$C,"2095")=0,"n/a",ROUND(AVERAGEIFS(Data!$D:$D,Data!$A:$A,$A13,Data!$B:$B,"RCP4.5",Data!$C:$C,"2095"),2))</f>
        <v/>
      </c>
      <c r="G13" s="2">
        <f>IF(COUNTIFS(Data!$A:$A,$A13,Data!$B:$B,"RCP8.5",Data!$C:$C,"2095")=0,"n/a",ROUND(AVERAGEIFS(Data!$D:$D,Data!$A:$A,$A13,Data!$B:$B,"RCP8.5",Data!$C:$C,"2095"),2))</f>
        <v/>
      </c>
      <c r="H13" s="2">
        <f>IF(OR(ISTEXT(B13),ISTEXT(D13)),"n/a",ROUND(D13-B13,2))</f>
        <v/>
      </c>
      <c r="I13" s="2">
        <f>IF(OR(ISTEXT(C13),ISTEXT(E13)),"n/a",ROUND(E13-C13,2))</f>
        <v/>
      </c>
      <c r="J13" s="2">
        <f>IF(OR(ISTEXT(B13),ISTEXT(F13)),"n/a",ROUND(F13-B13,2))</f>
        <v/>
      </c>
      <c r="K13" s="2">
        <f>IF(OR(ISTEXT(C13),ISTEXT(G13)),"n/a",ROUND(G13-C13,2))</f>
        <v/>
      </c>
      <c r="L13" s="4">
        <f>IF(ISTEXT($K13),"n/a",ROUND($K13*100,0)*1000+(21-ROW()))</f>
        <v/>
      </c>
    </row>
    <row r="14">
      <c r="A14" t="inlineStr">
        <is>
          <t>Kings</t>
        </is>
      </c>
      <c r="B14" s="2">
        <f>IF(COUNTIFS(Data!$A:$A,$A14,Data!$B:$B,"RCP4.5",Data!$C:$C,"2010")=0,"n/a",ROUND(AVERAGEIFS(Data!$D:$D,Data!$A:$A,$A14,Data!$B:$B,"RCP4.5",Data!$C:$C,"2010"),2))</f>
        <v/>
      </c>
      <c r="C14" s="2">
        <f>IF(COUNTIFS(Data!$A:$A,$A14,Data!$B:$B,"RCP8.5",Data!$C:$C,"2010")=0,"n/a",ROUND(AVERAGEIFS(Data!$D:$D,Data!$A:$A,$A14,Data!$B:$B,"RCP8.5",Data!$C:$C,"2010"),2))</f>
        <v/>
      </c>
      <c r="D14" s="2">
        <f>IF(COUNTIFS(Data!$A:$A,$A14,Data!$B:$B,"RCP4.5",Data!$C:$C,"2045")=0,"n/a",ROUND(AVERAGEIFS(Data!$D:$D,Data!$A:$A,$A14,Data!$B:$B,"RCP4.5",Data!$C:$C,"2045"),2))</f>
        <v/>
      </c>
      <c r="E14" s="2">
        <f>IF(COUNTIFS(Data!$A:$A,$A14,Data!$B:$B,"RCP8.5",Data!$C:$C,"2045")=0,"n/a",ROUND(AVERAGEIFS(Data!$D:$D,Data!$A:$A,$A14,Data!$B:$B,"RCP8.5",Data!$C:$C,"2045"),2))</f>
        <v/>
      </c>
      <c r="F14" s="2">
        <f>IF(COUNTIFS(Data!$A:$A,$A14,Data!$B:$B,"RCP4.5",Data!$C:$C,"2095")=0,"n/a",ROUND(AVERAGEIFS(Data!$D:$D,Data!$A:$A,$A14,Data!$B:$B,"RCP4.5",Data!$C:$C,"2095"),2))</f>
        <v/>
      </c>
      <c r="G14" s="2">
        <f>IF(COUNTIFS(Data!$A:$A,$A14,Data!$B:$B,"RCP8.5",Data!$C:$C,"2095")=0,"n/a",ROUND(AVERAGEIFS(Data!$D:$D,Data!$A:$A,$A14,Data!$B:$B,"RCP8.5",Data!$C:$C,"2095"),2))</f>
        <v/>
      </c>
      <c r="H14" s="2">
        <f>IF(OR(ISTEXT(B14),ISTEXT(D14)),"n/a",ROUND(D14-B14,2))</f>
        <v/>
      </c>
      <c r="I14" s="2">
        <f>IF(OR(ISTEXT(C14),ISTEXT(E14)),"n/a",ROUND(E14-C14,2))</f>
        <v/>
      </c>
      <c r="J14" s="2">
        <f>IF(OR(ISTEXT(B14),ISTEXT(F14)),"n/a",ROUND(F14-B14,2))</f>
        <v/>
      </c>
      <c r="K14" s="2">
        <f>IF(OR(ISTEXT(C14),ISTEXT(G14)),"n/a",ROUND(G14-C14,2))</f>
        <v/>
      </c>
      <c r="L14" s="4">
        <f>IF(ISTEXT($K14),"n/a",ROUND($K14*100,0)*1000+(21-ROW()))</f>
        <v/>
      </c>
    </row>
    <row r="15">
      <c r="A15" t="inlineStr">
        <is>
          <t>Lunenburg</t>
        </is>
      </c>
      <c r="B15" s="2">
        <f>IF(COUNTIFS(Data!$A:$A,$A15,Data!$B:$B,"RCP4.5",Data!$C:$C,"2010")=0,"n/a",ROUND(AVERAGEIFS(Data!$D:$D,Data!$A:$A,$A15,Data!$B:$B,"RCP4.5",Data!$C:$C,"2010"),2))</f>
        <v/>
      </c>
      <c r="C15" s="2">
        <f>IF(COUNTIFS(Data!$A:$A,$A15,Data!$B:$B,"RCP8.5",Data!$C:$C,"2010")=0,"n/a",ROUND(AVERAGEIFS(Data!$D:$D,Data!$A:$A,$A15,Data!$B:$B,"RCP8.5",Data!$C:$C,"2010"),2))</f>
        <v/>
      </c>
      <c r="D15" s="2">
        <f>IF(COUNTIFS(Data!$A:$A,$A15,Data!$B:$B,"RCP4.5",Data!$C:$C,"2045")=0,"n/a",ROUND(AVERAGEIFS(Data!$D:$D,Data!$A:$A,$A15,Data!$B:$B,"RCP4.5",Data!$C:$C,"2045"),2))</f>
        <v/>
      </c>
      <c r="E15" s="2">
        <f>IF(COUNTIFS(Data!$A:$A,$A15,Data!$B:$B,"RCP8.5",Data!$C:$C,"2045")=0,"n/a",ROUND(AVERAGEIFS(Data!$D:$D,Data!$A:$A,$A15,Data!$B:$B,"RCP8.5",Data!$C:$C,"2045"),2))</f>
        <v/>
      </c>
      <c r="F15" s="2">
        <f>IF(COUNTIFS(Data!$A:$A,$A15,Data!$B:$B,"RCP4.5",Data!$C:$C,"2095")=0,"n/a",ROUND(AVERAGEIFS(Data!$D:$D,Data!$A:$A,$A15,Data!$B:$B,"RCP4.5",Data!$C:$C,"2095"),2))</f>
        <v/>
      </c>
      <c r="G15" s="2">
        <f>IF(COUNTIFS(Data!$A:$A,$A15,Data!$B:$B,"RCP8.5",Data!$C:$C,"2095")=0,"n/a",ROUND(AVERAGEIFS(Data!$D:$D,Data!$A:$A,$A15,Data!$B:$B,"RCP8.5",Data!$C:$C,"2095"),2))</f>
        <v/>
      </c>
      <c r="H15" s="2">
        <f>IF(OR(ISTEXT(B15),ISTEXT(D15)),"n/a",ROUND(D15-B15,2))</f>
        <v/>
      </c>
      <c r="I15" s="2">
        <f>IF(OR(ISTEXT(C15),ISTEXT(E15)),"n/a",ROUND(E15-C15,2))</f>
        <v/>
      </c>
      <c r="J15" s="2">
        <f>IF(OR(ISTEXT(B15),ISTEXT(F15)),"n/a",ROUND(F15-B15,2))</f>
        <v/>
      </c>
      <c r="K15" s="2">
        <f>IF(OR(ISTEXT(C15),ISTEXT(G15)),"n/a",ROUND(G15-C15,2))</f>
        <v/>
      </c>
      <c r="L15" s="4">
        <f>IF(ISTEXT($K15),"n/a",ROUND($K15*100,0)*1000+(21-ROW()))</f>
        <v/>
      </c>
    </row>
    <row r="16">
      <c r="A16" t="inlineStr">
        <is>
          <t>Pictou</t>
        </is>
      </c>
      <c r="B16" s="2">
        <f>IF(COUNTIFS(Data!$A:$A,$A16,Data!$B:$B,"RCP4.5",Data!$C:$C,"2010")=0,"n/a",ROUND(AVERAGEIFS(Data!$D:$D,Data!$A:$A,$A16,Data!$B:$B,"RCP4.5",Data!$C:$C,"2010"),2))</f>
        <v/>
      </c>
      <c r="C16" s="2">
        <f>IF(COUNTIFS(Data!$A:$A,$A16,Data!$B:$B,"RCP8.5",Data!$C:$C,"2010")=0,"n/a",ROUND(AVERAGEIFS(Data!$D:$D,Data!$A:$A,$A16,Data!$B:$B,"RCP8.5",Data!$C:$C,"2010"),2))</f>
        <v/>
      </c>
      <c r="D16" s="2">
        <f>IF(COUNTIFS(Data!$A:$A,$A16,Data!$B:$B,"RCP4.5",Data!$C:$C,"2045")=0,"n/a",ROUND(AVERAGEIFS(Data!$D:$D,Data!$A:$A,$A16,Data!$B:$B,"RCP4.5",Data!$C:$C,"2045"),2))</f>
        <v/>
      </c>
      <c r="E16" s="2">
        <f>IF(COUNTIFS(Data!$A:$A,$A16,Data!$B:$B,"RCP8.5",Data!$C:$C,"2045")=0,"n/a",ROUND(AVERAGEIFS(Data!$D:$D,Data!$A:$A,$A16,Data!$B:$B,"RCP8.5",Data!$C:$C,"2045"),2))</f>
        <v/>
      </c>
      <c r="F16" s="2">
        <f>IF(COUNTIFS(Data!$A:$A,$A16,Data!$B:$B,"RCP4.5",Data!$C:$C,"2095")=0,"n/a",ROUND(AVERAGEIFS(Data!$D:$D,Data!$A:$A,$A16,Data!$B:$B,"RCP4.5",Data!$C:$C,"2095"),2))</f>
        <v/>
      </c>
      <c r="G16" s="2">
        <f>IF(COUNTIFS(Data!$A:$A,$A16,Data!$B:$B,"RCP8.5",Data!$C:$C,"2095")=0,"n/a",ROUND(AVERAGEIFS(Data!$D:$D,Data!$A:$A,$A16,Data!$B:$B,"RCP8.5",Data!$C:$C,"2095"),2))</f>
        <v/>
      </c>
      <c r="H16" s="2">
        <f>IF(OR(ISTEXT(B16),ISTEXT(D16)),"n/a",ROUND(D16-B16,2))</f>
        <v/>
      </c>
      <c r="I16" s="2">
        <f>IF(OR(ISTEXT(C16),ISTEXT(E16)),"n/a",ROUND(E16-C16,2))</f>
        <v/>
      </c>
      <c r="J16" s="2">
        <f>IF(OR(ISTEXT(B16),ISTEXT(F16)),"n/a",ROUND(F16-B16,2))</f>
        <v/>
      </c>
      <c r="K16" s="2">
        <f>IF(OR(ISTEXT(C16),ISTEXT(G16)),"n/a",ROUND(G16-C16,2))</f>
        <v/>
      </c>
      <c r="L16" s="4">
        <f>IF(ISTEXT($K16),"n/a",ROUND($K16*100,0)*1000+(21-ROW()))</f>
        <v/>
      </c>
    </row>
    <row r="17">
      <c r="A17" t="inlineStr">
        <is>
          <t>Queens</t>
        </is>
      </c>
      <c r="B17" s="2">
        <f>IF(COUNTIFS(Data!$A:$A,$A17,Data!$B:$B,"RCP4.5",Data!$C:$C,"2010")=0,"n/a",ROUND(AVERAGEIFS(Data!$D:$D,Data!$A:$A,$A17,Data!$B:$B,"RCP4.5",Data!$C:$C,"2010"),2))</f>
        <v/>
      </c>
      <c r="C17" s="2">
        <f>IF(COUNTIFS(Data!$A:$A,$A17,Data!$B:$B,"RCP8.5",Data!$C:$C,"2010")=0,"n/a",ROUND(AVERAGEIFS(Data!$D:$D,Data!$A:$A,$A17,Data!$B:$B,"RCP8.5",Data!$C:$C,"2010"),2))</f>
        <v/>
      </c>
      <c r="D17" s="2">
        <f>IF(COUNTIFS(Data!$A:$A,$A17,Data!$B:$B,"RCP4.5",Data!$C:$C,"2045")=0,"n/a",ROUND(AVERAGEIFS(Data!$D:$D,Data!$A:$A,$A17,Data!$B:$B,"RCP4.5",Data!$C:$C,"2045"),2))</f>
        <v/>
      </c>
      <c r="E17" s="2">
        <f>IF(COUNTIFS(Data!$A:$A,$A17,Data!$B:$B,"RCP8.5",Data!$C:$C,"2045")=0,"n/a",ROUND(AVERAGEIFS(Data!$D:$D,Data!$A:$A,$A17,Data!$B:$B,"RCP8.5",Data!$C:$C,"2045"),2))</f>
        <v/>
      </c>
      <c r="F17" s="2">
        <f>IF(COUNTIFS(Data!$A:$A,$A17,Data!$B:$B,"RCP4.5",Data!$C:$C,"2095")=0,"n/a",ROUND(AVERAGEIFS(Data!$D:$D,Data!$A:$A,$A17,Data!$B:$B,"RCP4.5",Data!$C:$C,"2095"),2))</f>
        <v/>
      </c>
      <c r="G17" s="2">
        <f>IF(COUNTIFS(Data!$A:$A,$A17,Data!$B:$B,"RCP8.5",Data!$C:$C,"2095")=0,"n/a",ROUND(AVERAGEIFS(Data!$D:$D,Data!$A:$A,$A17,Data!$B:$B,"RCP8.5",Data!$C:$C,"2095"),2))</f>
        <v/>
      </c>
      <c r="H17" s="2">
        <f>IF(OR(ISTEXT(B17),ISTEXT(D17)),"n/a",ROUND(D17-B17,2))</f>
        <v/>
      </c>
      <c r="I17" s="2">
        <f>IF(OR(ISTEXT(C17),ISTEXT(E17)),"n/a",ROUND(E17-C17,2))</f>
        <v/>
      </c>
      <c r="J17" s="2">
        <f>IF(OR(ISTEXT(B17),ISTEXT(F17)),"n/a",ROUND(F17-B17,2))</f>
        <v/>
      </c>
      <c r="K17" s="2">
        <f>IF(OR(ISTEXT(C17),ISTEXT(G17)),"n/a",ROUND(G17-C17,2))</f>
        <v/>
      </c>
      <c r="L17" s="4">
        <f>IF(ISTEXT($K17),"n/a",ROUND($K17*100,0)*1000+(21-ROW()))</f>
        <v/>
      </c>
    </row>
    <row r="18">
      <c r="A18" t="inlineStr">
        <is>
          <t>Richmond</t>
        </is>
      </c>
      <c r="B18" s="2">
        <f>IF(COUNTIFS(Data!$A:$A,$A18,Data!$B:$B,"RCP4.5",Data!$C:$C,"2010")=0,"n/a",ROUND(AVERAGEIFS(Data!$D:$D,Data!$A:$A,$A18,Data!$B:$B,"RCP4.5",Data!$C:$C,"2010"),2))</f>
        <v/>
      </c>
      <c r="C18" s="2">
        <f>IF(COUNTIFS(Data!$A:$A,$A18,Data!$B:$B,"RCP8.5",Data!$C:$C,"2010")=0,"n/a",ROUND(AVERAGEIFS(Data!$D:$D,Data!$A:$A,$A18,Data!$B:$B,"RCP8.5",Data!$C:$C,"2010"),2))</f>
        <v/>
      </c>
      <c r="D18" s="2">
        <f>IF(COUNTIFS(Data!$A:$A,$A18,Data!$B:$B,"RCP4.5",Data!$C:$C,"2045")=0,"n/a",ROUND(AVERAGEIFS(Data!$D:$D,Data!$A:$A,$A18,Data!$B:$B,"RCP4.5",Data!$C:$C,"2045"),2))</f>
        <v/>
      </c>
      <c r="E18" s="2">
        <f>IF(COUNTIFS(Data!$A:$A,$A18,Data!$B:$B,"RCP8.5",Data!$C:$C,"2045")=0,"n/a",ROUND(AVERAGEIFS(Data!$D:$D,Data!$A:$A,$A18,Data!$B:$B,"RCP8.5",Data!$C:$C,"2045"),2))</f>
        <v/>
      </c>
      <c r="F18" s="2">
        <f>IF(COUNTIFS(Data!$A:$A,$A18,Data!$B:$B,"RCP4.5",Data!$C:$C,"2095")=0,"n/a",ROUND(AVERAGEIFS(Data!$D:$D,Data!$A:$A,$A18,Data!$B:$B,"RCP4.5",Data!$C:$C,"2095"),2))</f>
        <v/>
      </c>
      <c r="G18" s="2">
        <f>IF(COUNTIFS(Data!$A:$A,$A18,Data!$B:$B,"RCP8.5",Data!$C:$C,"2095")=0,"n/a",ROUND(AVERAGEIFS(Data!$D:$D,Data!$A:$A,$A18,Data!$B:$B,"RCP8.5",Data!$C:$C,"2095"),2))</f>
        <v/>
      </c>
      <c r="H18" s="2">
        <f>IF(OR(ISTEXT(B18),ISTEXT(D18)),"n/a",ROUND(D18-B18,2))</f>
        <v/>
      </c>
      <c r="I18" s="2">
        <f>IF(OR(ISTEXT(C18),ISTEXT(E18)),"n/a",ROUND(E18-C18,2))</f>
        <v/>
      </c>
      <c r="J18" s="2">
        <f>IF(OR(ISTEXT(B18),ISTEXT(F18)),"n/a",ROUND(F18-B18,2))</f>
        <v/>
      </c>
      <c r="K18" s="2">
        <f>IF(OR(ISTEXT(C18),ISTEXT(G18)),"n/a",ROUND(G18-C18,2))</f>
        <v/>
      </c>
      <c r="L18" s="4">
        <f>IF(ISTEXT($K18),"n/a",ROUND($K18*100,0)*1000+(21-ROW()))</f>
        <v/>
      </c>
    </row>
    <row r="19">
      <c r="A19" t="inlineStr">
        <is>
          <t>Shelburne</t>
        </is>
      </c>
      <c r="B19" s="2">
        <f>IF(COUNTIFS(Data!$A:$A,$A19,Data!$B:$B,"RCP4.5",Data!$C:$C,"2010")=0,"n/a",ROUND(AVERAGEIFS(Data!$D:$D,Data!$A:$A,$A19,Data!$B:$B,"RCP4.5",Data!$C:$C,"2010"),2))</f>
        <v/>
      </c>
      <c r="C19" s="2">
        <f>IF(COUNTIFS(Data!$A:$A,$A19,Data!$B:$B,"RCP8.5",Data!$C:$C,"2010")=0,"n/a",ROUND(AVERAGEIFS(Data!$D:$D,Data!$A:$A,$A19,Data!$B:$B,"RCP8.5",Data!$C:$C,"2010"),2))</f>
        <v/>
      </c>
      <c r="D19" s="2">
        <f>IF(COUNTIFS(Data!$A:$A,$A19,Data!$B:$B,"RCP4.5",Data!$C:$C,"2045")=0,"n/a",ROUND(AVERAGEIFS(Data!$D:$D,Data!$A:$A,$A19,Data!$B:$B,"RCP4.5",Data!$C:$C,"2045"),2))</f>
        <v/>
      </c>
      <c r="E19" s="2">
        <f>IF(COUNTIFS(Data!$A:$A,$A19,Data!$B:$B,"RCP8.5",Data!$C:$C,"2045")=0,"n/a",ROUND(AVERAGEIFS(Data!$D:$D,Data!$A:$A,$A19,Data!$B:$B,"RCP8.5",Data!$C:$C,"2045"),2))</f>
        <v/>
      </c>
      <c r="F19" s="2">
        <f>IF(COUNTIFS(Data!$A:$A,$A19,Data!$B:$B,"RCP4.5",Data!$C:$C,"2095")=0,"n/a",ROUND(AVERAGEIFS(Data!$D:$D,Data!$A:$A,$A19,Data!$B:$B,"RCP4.5",Data!$C:$C,"2095"),2))</f>
        <v/>
      </c>
      <c r="G19" s="2">
        <f>IF(COUNTIFS(Data!$A:$A,$A19,Data!$B:$B,"RCP8.5",Data!$C:$C,"2095")=0,"n/a",ROUND(AVERAGEIFS(Data!$D:$D,Data!$A:$A,$A19,Data!$B:$B,"RCP8.5",Data!$C:$C,"2095"),2))</f>
        <v/>
      </c>
      <c r="H19" s="2">
        <f>IF(OR(ISTEXT(B19),ISTEXT(D19)),"n/a",ROUND(D19-B19,2))</f>
        <v/>
      </c>
      <c r="I19" s="2">
        <f>IF(OR(ISTEXT(C19),ISTEXT(E19)),"n/a",ROUND(E19-C19,2))</f>
        <v/>
      </c>
      <c r="J19" s="2">
        <f>IF(OR(ISTEXT(B19),ISTEXT(F19)),"n/a",ROUND(F19-B19,2))</f>
        <v/>
      </c>
      <c r="K19" s="2">
        <f>IF(OR(ISTEXT(C19),ISTEXT(G19)),"n/a",ROUND(G19-C19,2))</f>
        <v/>
      </c>
      <c r="L19" s="4">
        <f>IF(ISTEXT($K19),"n/a",ROUND($K19*100,0)*1000+(21-ROW()))</f>
        <v/>
      </c>
    </row>
    <row r="20">
      <c r="A20" t="inlineStr">
        <is>
          <t>Victoria</t>
        </is>
      </c>
      <c r="B20" s="2">
        <f>IF(COUNTIFS(Data!$A:$A,$A20,Data!$B:$B,"RCP4.5",Data!$C:$C,"2010")=0,"n/a",ROUND(AVERAGEIFS(Data!$D:$D,Data!$A:$A,$A20,Data!$B:$B,"RCP4.5",Data!$C:$C,"2010"),2))</f>
        <v/>
      </c>
      <c r="C20" s="2">
        <f>IF(COUNTIFS(Data!$A:$A,$A20,Data!$B:$B,"RCP8.5",Data!$C:$C,"2010")=0,"n/a",ROUND(AVERAGEIFS(Data!$D:$D,Data!$A:$A,$A20,Data!$B:$B,"RCP8.5",Data!$C:$C,"2010"),2))</f>
        <v/>
      </c>
      <c r="D20" s="2">
        <f>IF(COUNTIFS(Data!$A:$A,$A20,Data!$B:$B,"RCP4.5",Data!$C:$C,"2045")=0,"n/a",ROUND(AVERAGEIFS(Data!$D:$D,Data!$A:$A,$A20,Data!$B:$B,"RCP4.5",Data!$C:$C,"2045"),2))</f>
        <v/>
      </c>
      <c r="E20" s="2">
        <f>IF(COUNTIFS(Data!$A:$A,$A20,Data!$B:$B,"RCP8.5",Data!$C:$C,"2045")=0,"n/a",ROUND(AVERAGEIFS(Data!$D:$D,Data!$A:$A,$A20,Data!$B:$B,"RCP8.5",Data!$C:$C,"2045"),2))</f>
        <v/>
      </c>
      <c r="F20" s="2">
        <f>IF(COUNTIFS(Data!$A:$A,$A20,Data!$B:$B,"RCP4.5",Data!$C:$C,"2095")=0,"n/a",ROUND(AVERAGEIFS(Data!$D:$D,Data!$A:$A,$A20,Data!$B:$B,"RCP4.5",Data!$C:$C,"2095"),2))</f>
        <v/>
      </c>
      <c r="G20" s="2">
        <f>IF(COUNTIFS(Data!$A:$A,$A20,Data!$B:$B,"RCP8.5",Data!$C:$C,"2095")=0,"n/a",ROUND(AVERAGEIFS(Data!$D:$D,Data!$A:$A,$A20,Data!$B:$B,"RCP8.5",Data!$C:$C,"2095"),2))</f>
        <v/>
      </c>
      <c r="H20" s="2">
        <f>IF(OR(ISTEXT(B20),ISTEXT(D20)),"n/a",ROUND(D20-B20,2))</f>
        <v/>
      </c>
      <c r="I20" s="2">
        <f>IF(OR(ISTEXT(C20),ISTEXT(E20)),"n/a",ROUND(E20-C20,2))</f>
        <v/>
      </c>
      <c r="J20" s="2">
        <f>IF(OR(ISTEXT(B20),ISTEXT(F20)),"n/a",ROUND(F20-B20,2))</f>
        <v/>
      </c>
      <c r="K20" s="2">
        <f>IF(OR(ISTEXT(C20),ISTEXT(G20)),"n/a",ROUND(G20-C20,2))</f>
        <v/>
      </c>
      <c r="L20" s="4">
        <f>IF(ISTEXT($K20),"n/a",ROUND($K20*100,0)*1000+(21-ROW()))</f>
        <v/>
      </c>
    </row>
    <row r="21">
      <c r="A21" t="inlineStr">
        <is>
          <t>Yarmouth</t>
        </is>
      </c>
      <c r="B21" s="2">
        <f>IF(COUNTIFS(Data!$A:$A,$A21,Data!$B:$B,"RCP4.5",Data!$C:$C,"2010")=0,"n/a",ROUND(AVERAGEIFS(Data!$D:$D,Data!$A:$A,$A21,Data!$B:$B,"RCP4.5",Data!$C:$C,"2010"),2))</f>
        <v/>
      </c>
      <c r="C21" s="2">
        <f>IF(COUNTIFS(Data!$A:$A,$A21,Data!$B:$B,"RCP8.5",Data!$C:$C,"2010")=0,"n/a",ROUND(AVERAGEIFS(Data!$D:$D,Data!$A:$A,$A21,Data!$B:$B,"RCP8.5",Data!$C:$C,"2010"),2))</f>
        <v/>
      </c>
      <c r="D21" s="2">
        <f>IF(COUNTIFS(Data!$A:$A,$A21,Data!$B:$B,"RCP4.5",Data!$C:$C,"2045")=0,"n/a",ROUND(AVERAGEIFS(Data!$D:$D,Data!$A:$A,$A21,Data!$B:$B,"RCP4.5",Data!$C:$C,"2045"),2))</f>
        <v/>
      </c>
      <c r="E21" s="2">
        <f>IF(COUNTIFS(Data!$A:$A,$A21,Data!$B:$B,"RCP8.5",Data!$C:$C,"2045")=0,"n/a",ROUND(AVERAGEIFS(Data!$D:$D,Data!$A:$A,$A21,Data!$B:$B,"RCP8.5",Data!$C:$C,"2045"),2))</f>
        <v/>
      </c>
      <c r="F21" s="2">
        <f>IF(COUNTIFS(Data!$A:$A,$A21,Data!$B:$B,"RCP4.5",Data!$C:$C,"2095")=0,"n/a",ROUND(AVERAGEIFS(Data!$D:$D,Data!$A:$A,$A21,Data!$B:$B,"RCP4.5",Data!$C:$C,"2095"),2))</f>
        <v/>
      </c>
      <c r="G21" s="2">
        <f>IF(COUNTIFS(Data!$A:$A,$A21,Data!$B:$B,"RCP8.5",Data!$C:$C,"2095")=0,"n/a",ROUND(AVERAGEIFS(Data!$D:$D,Data!$A:$A,$A21,Data!$B:$B,"RCP8.5",Data!$C:$C,"2095"),2))</f>
        <v/>
      </c>
      <c r="H21" s="2">
        <f>IF(OR(ISTEXT(B21),ISTEXT(D21)),"n/a",ROUND(D21-B21,2))</f>
        <v/>
      </c>
      <c r="I21" s="2">
        <f>IF(OR(ISTEXT(C21),ISTEXT(E21)),"n/a",ROUND(E21-C21,2))</f>
        <v/>
      </c>
      <c r="J21" s="2">
        <f>IF(OR(ISTEXT(B21),ISTEXT(F21)),"n/a",ROUND(F21-B21,2))</f>
        <v/>
      </c>
      <c r="K21" s="2">
        <f>IF(OR(ISTEXT(C21),ISTEXT(G21)),"n/a",ROUND(G21-C21,2))</f>
        <v/>
      </c>
      <c r="L21" s="4">
        <f>IF(ISTEXT($K21),"n/a",ROUND($K21*100,0)*1000+(21-ROW()))</f>
        <v/>
      </c>
    </row>
    <row r="23">
      <c r="A23" s="1" t="inlineStr">
        <is>
          <t>Counties ranked by 2095 RCP8.5 delta</t>
        </is>
      </c>
    </row>
    <row r="24">
      <c r="A24" s="1" t="inlineStr">
        <is>
          <t>Rank</t>
        </is>
      </c>
      <c r="B24" s="1" t="inlineStr">
        <is>
          <t>Region</t>
        </is>
      </c>
      <c r="C24" s="1" t="inlineStr">
        <is>
          <t>Delta (degC)</t>
        </is>
      </c>
    </row>
    <row r="25">
      <c r="A25" t="n">
        <v>1</v>
      </c>
      <c r="B25">
        <f>INDEX($A$4:$A$21,MATCH(LARGE($L$4:$L$21,A25),$L$4:$L$21,0))</f>
        <v/>
      </c>
      <c r="C25" s="2">
        <f>INDEX($K$4:$K$21,MATCH(LARGE($L$4:$L$21,A25),$L$4:$L$21,0))</f>
        <v/>
      </c>
    </row>
    <row r="26">
      <c r="A26" t="n">
        <v>2</v>
      </c>
      <c r="B26">
        <f>INDEX($A$4:$A$21,MATCH(LARGE($L$4:$L$21,A26),$L$4:$L$21,0))</f>
        <v/>
      </c>
      <c r="C26" s="2">
        <f>INDEX($K$4:$K$21,MATCH(LARGE($L$4:$L$21,A26),$L$4:$L$21,0))</f>
        <v/>
      </c>
    </row>
    <row r="27">
      <c r="A27" t="n">
        <v>3</v>
      </c>
      <c r="B27">
        <f>INDEX($A$4:$A$21,MATCH(LARGE($L$4:$L$21,A27),$L$4:$L$21,0))</f>
        <v/>
      </c>
      <c r="C27" s="2">
        <f>INDEX($K$4:$K$21,MATCH(LARGE($L$4:$L$21,A27),$L$4:$L$21,0))</f>
        <v/>
      </c>
    </row>
    <row r="28">
      <c r="A28" t="n">
        <v>4</v>
      </c>
      <c r="B28">
        <f>INDEX($A$4:$A$21,MATCH(LARGE($L$4:$L$21,A28),$L$4:$L$21,0))</f>
        <v/>
      </c>
      <c r="C28" s="2">
        <f>INDEX($K$4:$K$21,MATCH(LARGE($L$4:$L$21,A28),$L$4:$L$21,0))</f>
        <v/>
      </c>
    </row>
    <row r="29">
      <c r="A29" t="n">
        <v>5</v>
      </c>
      <c r="B29">
        <f>INDEX($A$4:$A$21,MATCH(LARGE($L$4:$L$21,A29),$L$4:$L$21,0))</f>
        <v/>
      </c>
      <c r="C29" s="2">
        <f>INDEX($K$4:$K$21,MATCH(LARGE($L$4:$L$21,A29),$L$4:$L$21,0))</f>
        <v/>
      </c>
    </row>
    <row r="30">
      <c r="A30" t="n">
        <v>6</v>
      </c>
      <c r="B30">
        <f>INDEX($A$4:$A$21,MATCH(LARGE($L$4:$L$21,A30),$L$4:$L$21,0))</f>
        <v/>
      </c>
      <c r="C30" s="2">
        <f>INDEX($K$4:$K$21,MATCH(LARGE($L$4:$L$21,A30),$L$4:$L$21,0))</f>
        <v/>
      </c>
    </row>
    <row r="31">
      <c r="A31" t="n">
        <v>7</v>
      </c>
      <c r="B31">
        <f>INDEX($A$4:$A$21,MATCH(LARGE($L$4:$L$21,A31),$L$4:$L$21,0))</f>
        <v/>
      </c>
      <c r="C31" s="2">
        <f>INDEX($K$4:$K$21,MATCH(LARGE($L$4:$L$21,A31),$L$4:$L$21,0))</f>
        <v/>
      </c>
    </row>
    <row r="32">
      <c r="A32" t="n">
        <v>8</v>
      </c>
      <c r="B32">
        <f>INDEX($A$4:$A$21,MATCH(LARGE($L$4:$L$21,A32),$L$4:$L$21,0))</f>
        <v/>
      </c>
      <c r="C32" s="2">
        <f>INDEX($K$4:$K$21,MATCH(LARGE($L$4:$L$21,A32),$L$4:$L$21,0))</f>
        <v/>
      </c>
    </row>
    <row r="33">
      <c r="A33" t="n">
        <v>9</v>
      </c>
      <c r="B33">
        <f>INDEX($A$4:$A$21,MATCH(LARGE($L$4:$L$21,A33),$L$4:$L$21,0))</f>
        <v/>
      </c>
      <c r="C33" s="2">
        <f>INDEX($K$4:$K$21,MATCH(LARGE($L$4:$L$21,A33),$L$4:$L$21,0))</f>
        <v/>
      </c>
    </row>
    <row r="34">
      <c r="A34" t="n">
        <v>10</v>
      </c>
      <c r="B34">
        <f>INDEX($A$4:$A$21,MATCH(LARGE($L$4:$L$21,A34),$L$4:$L$21,0))</f>
        <v/>
      </c>
      <c r="C34" s="2">
        <f>INDEX($K$4:$K$21,MATCH(LARGE($L$4:$L$21,A34),$L$4:$L$21,0))</f>
        <v/>
      </c>
    </row>
    <row r="35">
      <c r="A35" t="n">
        <v>11</v>
      </c>
      <c r="B35">
        <f>INDEX($A$4:$A$21,MATCH(LARGE($L$4:$L$21,A35),$L$4:$L$21,0))</f>
        <v/>
      </c>
      <c r="C35" s="2">
        <f>INDEX($K$4:$K$21,MATCH(LARGE($L$4:$L$21,A35),$L$4:$L$21,0))</f>
        <v/>
      </c>
    </row>
    <row r="36">
      <c r="A36" t="n">
        <v>12</v>
      </c>
      <c r="B36">
        <f>INDEX($A$4:$A$21,MATCH(LARGE($L$4:$L$21,A36),$L$4:$L$21,0))</f>
        <v/>
      </c>
      <c r="C36" s="2">
        <f>INDEX($K$4:$K$21,MATCH(LARGE($L$4:$L$21,A36),$L$4:$L$21,0))</f>
        <v/>
      </c>
    </row>
    <row r="37">
      <c r="A37" t="n">
        <v>13</v>
      </c>
      <c r="B37">
        <f>INDEX($A$4:$A$21,MATCH(LARGE($L$4:$L$21,A37),$L$4:$L$21,0))</f>
        <v/>
      </c>
      <c r="C37" s="2">
        <f>INDEX($K$4:$K$21,MATCH(LARGE($L$4:$L$21,A37),$L$4:$L$21,0))</f>
        <v/>
      </c>
    </row>
    <row r="38">
      <c r="A38" t="n">
        <v>14</v>
      </c>
      <c r="B38">
        <f>INDEX($A$4:$A$21,MATCH(LARGE($L$4:$L$21,A38),$L$4:$L$21,0))</f>
        <v/>
      </c>
      <c r="C38" s="2">
        <f>INDEX($K$4:$K$21,MATCH(LARGE($L$4:$L$21,A38),$L$4:$L$21,0))</f>
        <v/>
      </c>
    </row>
    <row r="39">
      <c r="A39" t="n">
        <v>15</v>
      </c>
      <c r="B39">
        <f>INDEX($A$4:$A$21,MATCH(LARGE($L$4:$L$21,A39),$L$4:$L$21,0))</f>
        <v/>
      </c>
      <c r="C39" s="2">
        <f>INDEX($K$4:$K$21,MATCH(LARGE($L$4:$L$21,A39),$L$4:$L$21,0))</f>
        <v/>
      </c>
    </row>
    <row r="40">
      <c r="A40" t="n">
        <v>16</v>
      </c>
      <c r="B40">
        <f>INDEX($A$4:$A$21,MATCH(LARGE($L$4:$L$21,A40),$L$4:$L$21,0))</f>
        <v/>
      </c>
      <c r="C40" s="2">
        <f>INDEX($K$4:$K$21,MATCH(LARGE($L$4:$L$21,A40),$L$4:$L$21,0))</f>
        <v/>
      </c>
    </row>
    <row r="41">
      <c r="A41" t="n">
        <v>17</v>
      </c>
      <c r="B41">
        <f>INDEX($A$4:$A$21,MATCH(LARGE($L$4:$L$21,A41),$L$4:$L$21,0))</f>
        <v/>
      </c>
      <c r="C41" s="2">
        <f>INDEX($K$4:$K$21,MATCH(LARGE($L$4:$L$21,A41),$L$4:$L$21,0))</f>
        <v/>
      </c>
    </row>
    <row r="42">
      <c r="A42" t="n">
        <v>18</v>
      </c>
      <c r="B42">
        <f>INDEX($A$4:$A$21,MATCH(LARGE($L$4:$L$21,A42),$L$4:$L$21,0))</f>
        <v/>
      </c>
      <c r="C42" s="2">
        <f>INDEX($K$4:$K$21,MATCH(LARGE($L$4:$L$21,A42),$L$4:$L$21,0))</f>
        <v/>
      </c>
    </row>
    <row r="44">
      <c r="A44" s="1" t="inlineStr">
        <is>
          <t>Headline</t>
        </is>
      </c>
    </row>
    <row r="45">
      <c r="A45" t="inlineStr">
        <is>
          <t>Largest 2095 RCP8.5 delta, region</t>
        </is>
      </c>
      <c r="B45">
        <f>B25</f>
        <v/>
      </c>
    </row>
    <row r="46">
      <c r="A46" t="inlineStr">
        <is>
          <t>Largest 2095 RCP8.5 delta (degC)</t>
        </is>
      </c>
      <c r="B46" s="2">
        <f>C25</f>
        <v/>
      </c>
    </row>
    <row r="47">
      <c r="A47" t="inlineStr">
        <is>
          <t>Average 2095 delta, RCP4.5 (degC)</t>
        </is>
      </c>
      <c r="B47" s="2">
        <f>ROUND(AVERAGE($J$4:$J$21),2)</f>
        <v/>
      </c>
    </row>
    <row r="48">
      <c r="A48" t="inlineStr">
        <is>
          <t>Average 2095 delta, RCP8.5 (degC)</t>
        </is>
      </c>
      <c r="B48" s="2">
        <f>ROUND(AVERAGE($K$4:$K$21),2)</f>
        <v/>
      </c>
    </row>
    <row r="49">
      <c r="A49" t="inlineStr">
        <is>
          <t>Scenario gap at 2095 (degC)</t>
        </is>
      </c>
      <c r="B49" s="2">
        <f>ROUND(B48-B47,2)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2026-07-24T02:19:06Z</dcterms:created>
  <dcterms:modified xmlns:dcterms="http://purl.org/dc/terms/" xmlns:xsi="http://www.w3.org/2001/XMLSchema-instance" xsi:type="dcterms:W3CDTF">2026-07-24T02:19:06Z</dcterms:modified>
</cp:coreProperties>
</file>