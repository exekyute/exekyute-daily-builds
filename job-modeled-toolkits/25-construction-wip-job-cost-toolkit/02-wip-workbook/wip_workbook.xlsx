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Schedule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165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F8D7DA"/>
        </patternFill>
      </fill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8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8" customWidth="1" min="11" max="11"/>
    <col width="18" customWidth="1" min="12" max="12"/>
    <col width="13" customWidth="1" min="13" max="13"/>
  </cols>
  <sheetData>
    <row r="1">
      <c r="A1" s="1" t="inlineStr">
        <is>
          <t>Job ID</t>
        </is>
      </c>
      <c r="B1" s="1" t="inlineStr">
        <is>
          <t>Job Name</t>
        </is>
      </c>
      <c r="C1" s="1" t="inlineStr">
        <is>
          <t>Contract Value</t>
        </is>
      </c>
      <c r="D1" s="1" t="inlineStr">
        <is>
          <t>Estimated Total Cost</t>
        </is>
      </c>
      <c r="E1" s="1" t="inlineStr">
        <is>
          <t>Cost to Date</t>
        </is>
      </c>
      <c r="F1" s="1" t="inlineStr">
        <is>
          <t>Billed to Date</t>
        </is>
      </c>
      <c r="G1" s="1" t="inlineStr">
        <is>
          <t>Percent Complete</t>
        </is>
      </c>
      <c r="H1" s="1" t="inlineStr">
        <is>
          <t>Earned Revenue</t>
        </is>
      </c>
      <c r="I1" s="1" t="inlineStr">
        <is>
          <t>Cost to Complete</t>
        </is>
      </c>
      <c r="J1" s="1" t="inlineStr">
        <is>
          <t>Est. Gross Profit</t>
        </is>
      </c>
      <c r="K1" s="1" t="inlineStr">
        <is>
          <t>Gross Profit to Date</t>
        </is>
      </c>
      <c r="L1" s="1" t="inlineStr">
        <is>
          <t>Over/Under Billing</t>
        </is>
      </c>
      <c r="M1" s="1" t="inlineStr">
        <is>
          <t>Status</t>
        </is>
      </c>
    </row>
    <row r="2">
      <c r="A2" t="inlineStr">
        <is>
          <t>J-1001</t>
        </is>
      </c>
      <c r="B2" t="inlineStr">
        <is>
          <t>Riverside Transit Hub</t>
        </is>
      </c>
      <c r="C2" s="2" t="n">
        <v>1200000</v>
      </c>
      <c r="D2" s="2" t="n">
        <v>800000</v>
      </c>
      <c r="E2" s="2" t="n">
        <v>480000</v>
      </c>
      <c r="F2" s="2" t="n">
        <v>700000</v>
      </c>
      <c r="G2" s="3">
        <f>ROUND(E2/D2,4)</f>
        <v/>
      </c>
      <c r="H2" s="2">
        <f>ROUND(C2*E2/D2,2)</f>
        <v/>
      </c>
      <c r="I2" s="2">
        <f>D2-E2</f>
        <v/>
      </c>
      <c r="J2" s="2">
        <f>C2-D2</f>
        <v/>
      </c>
      <c r="K2" s="2">
        <f>H2-E2</f>
        <v/>
      </c>
      <c r="L2" s="2">
        <f>H2-F2</f>
        <v/>
      </c>
      <c r="M2" s="4">
        <f>IF(L2&gt;0,"Underbilled",IF(L2&lt;0,"Overbilled","Even"))</f>
        <v/>
      </c>
    </row>
    <row r="3">
      <c r="A3" t="inlineStr">
        <is>
          <t>J-1002</t>
        </is>
      </c>
      <c r="B3" t="inlineStr">
        <is>
          <t>Maple Street Reno</t>
        </is>
      </c>
      <c r="C3" s="2" t="n">
        <v>500000</v>
      </c>
      <c r="D3" s="2" t="n">
        <v>350000</v>
      </c>
      <c r="E3" s="2" t="n">
        <v>70000</v>
      </c>
      <c r="F3" s="2" t="n">
        <v>150000</v>
      </c>
      <c r="G3" s="3">
        <f>ROUND(E3/D3,4)</f>
        <v/>
      </c>
      <c r="H3" s="2">
        <f>ROUND(C3*E3/D3,2)</f>
        <v/>
      </c>
      <c r="I3" s="2">
        <f>D3-E3</f>
        <v/>
      </c>
      <c r="J3" s="2">
        <f>C3-D3</f>
        <v/>
      </c>
      <c r="K3" s="2">
        <f>H3-E3</f>
        <v/>
      </c>
      <c r="L3" s="2">
        <f>H3-F3</f>
        <v/>
      </c>
      <c r="M3" s="4">
        <f>IF(L3&gt;0,"Underbilled",IF(L3&lt;0,"Overbilled","Even"))</f>
        <v/>
      </c>
    </row>
    <row r="4">
      <c r="A4" t="inlineStr">
        <is>
          <t>J-1003</t>
        </is>
      </c>
      <c r="B4" t="inlineStr">
        <is>
          <t>Harbour Warehouse Fit-Out</t>
        </is>
      </c>
      <c r="C4" s="2" t="n">
        <v>250000</v>
      </c>
      <c r="D4" s="2" t="n">
        <v>200000</v>
      </c>
      <c r="E4" s="2" t="n">
        <v>200000</v>
      </c>
      <c r="F4" s="2" t="n">
        <v>250000</v>
      </c>
      <c r="G4" s="3">
        <f>ROUND(E4/D4,4)</f>
        <v/>
      </c>
      <c r="H4" s="2">
        <f>ROUND(C4*E4/D4,2)</f>
        <v/>
      </c>
      <c r="I4" s="2">
        <f>D4-E4</f>
        <v/>
      </c>
      <c r="J4" s="2">
        <f>C4-D4</f>
        <v/>
      </c>
      <c r="K4" s="2">
        <f>H4-E4</f>
        <v/>
      </c>
      <c r="L4" s="2">
        <f>H4-F4</f>
        <v/>
      </c>
      <c r="M4" s="4">
        <f>IF(L4&gt;0,"Underbilled",IF(L4&lt;0,"Overbilled","Even"))</f>
        <v/>
      </c>
    </row>
    <row r="5">
      <c r="A5" t="inlineStr">
        <is>
          <t>J-1004</t>
        </is>
      </c>
      <c r="B5" t="inlineStr">
        <is>
          <t>Northgate Parkade</t>
        </is>
      </c>
      <c r="C5" s="2" t="n">
        <v>600000</v>
      </c>
      <c r="D5" s="2" t="n">
        <v>420000</v>
      </c>
      <c r="E5" s="2" t="n">
        <v>0</v>
      </c>
      <c r="F5" s="2" t="n">
        <v>60000</v>
      </c>
      <c r="G5" s="3">
        <f>ROUND(E5/D5,4)</f>
        <v/>
      </c>
      <c r="H5" s="2">
        <f>ROUND(C5*E5/D5,2)</f>
        <v/>
      </c>
      <c r="I5" s="2">
        <f>D5-E5</f>
        <v/>
      </c>
      <c r="J5" s="2">
        <f>C5-D5</f>
        <v/>
      </c>
      <c r="K5" s="2">
        <f>H5-E5</f>
        <v/>
      </c>
      <c r="L5" s="2">
        <f>H5-F5</f>
        <v/>
      </c>
      <c r="M5" s="4">
        <f>IF(L5&gt;0,"Underbilled",IF(L5&lt;0,"Overbilled","Even"))</f>
        <v/>
      </c>
    </row>
    <row r="6">
      <c r="A6" t="inlineStr">
        <is>
          <t>J-1005</t>
        </is>
      </c>
      <c r="B6" t="inlineStr">
        <is>
          <t>Lakeshore Civic Centre</t>
        </is>
      </c>
      <c r="C6" s="2" t="n">
        <v>2400000</v>
      </c>
      <c r="D6" s="2" t="n">
        <v>1800000</v>
      </c>
      <c r="E6" s="2" t="n">
        <v>900000</v>
      </c>
      <c r="F6" s="2" t="n">
        <v>1150000</v>
      </c>
      <c r="G6" s="3">
        <f>ROUND(E6/D6,4)</f>
        <v/>
      </c>
      <c r="H6" s="2">
        <f>ROUND(C6*E6/D6,2)</f>
        <v/>
      </c>
      <c r="I6" s="2">
        <f>D6-E6</f>
        <v/>
      </c>
      <c r="J6" s="2">
        <f>C6-D6</f>
        <v/>
      </c>
      <c r="K6" s="2">
        <f>H6-E6</f>
        <v/>
      </c>
      <c r="L6" s="2">
        <f>H6-F6</f>
        <v/>
      </c>
      <c r="M6" s="4">
        <f>IF(L6&gt;0,"Underbilled",IF(L6&lt;0,"Overbilled","Even"))</f>
        <v/>
      </c>
    </row>
    <row r="7">
      <c r="A7" t="inlineStr">
        <is>
          <t>J-1006</t>
        </is>
      </c>
      <c r="B7" t="inlineStr">
        <is>
          <t>Elm Court Townhomes</t>
        </is>
      </c>
      <c r="C7" s="2" t="n">
        <v>380000</v>
      </c>
      <c r="D7" s="2" t="n">
        <v>360000</v>
      </c>
      <c r="E7" s="2" t="n">
        <v>351000</v>
      </c>
      <c r="F7" s="2" t="n">
        <v>372000</v>
      </c>
      <c r="G7" s="3">
        <f>ROUND(E7/D7,4)</f>
        <v/>
      </c>
      <c r="H7" s="2">
        <f>ROUND(C7*E7/D7,2)</f>
        <v/>
      </c>
      <c r="I7" s="2">
        <f>D7-E7</f>
        <v/>
      </c>
      <c r="J7" s="2">
        <f>C7-D7</f>
        <v/>
      </c>
      <c r="K7" s="2">
        <f>H7-E7</f>
        <v/>
      </c>
      <c r="L7" s="2">
        <f>H7-F7</f>
        <v/>
      </c>
      <c r="M7" s="4">
        <f>IF(L7&gt;0,"Underbilled",IF(L7&lt;0,"Overbilled","Even"))</f>
        <v/>
      </c>
    </row>
    <row r="8">
      <c r="A8" s="5" t="inlineStr">
        <is>
          <t>Total</t>
        </is>
      </c>
      <c r="B8" s="6" t="n"/>
      <c r="C8" s="7">
        <f>SUM(C2:C7)</f>
        <v/>
      </c>
      <c r="D8" s="7">
        <f>SUM(D2:D7)</f>
        <v/>
      </c>
      <c r="E8" s="7">
        <f>SUM(E2:E7)</f>
        <v/>
      </c>
      <c r="F8" s="7">
        <f>SUM(F2:F7)</f>
        <v/>
      </c>
      <c r="G8" s="8">
        <f>ROUND(SUM(E2:E7)/SUM(D2:D7),4)</f>
        <v/>
      </c>
      <c r="H8" s="7">
        <f>SUM(H2:H7)</f>
        <v/>
      </c>
      <c r="I8" s="7">
        <f>SUM(I2:I7)</f>
        <v/>
      </c>
      <c r="J8" s="7">
        <f>SUM(J2:J7)</f>
        <v/>
      </c>
      <c r="K8" s="7">
        <f>SUM(K2:K7)</f>
        <v/>
      </c>
      <c r="L8" s="7">
        <f>SUM(L2:L7)</f>
        <v/>
      </c>
      <c r="M8" s="6" t="n"/>
    </row>
  </sheetData>
  <conditionalFormatting sqref="L2:L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 ht="24" customHeight="1">
      <c r="A1" s="9" t="inlineStr">
        <is>
          <t>Construction WIP Dashboard</t>
        </is>
      </c>
      <c r="B1" s="10" t="n"/>
    </row>
    <row r="3">
      <c r="A3" s="5" t="inlineStr">
        <is>
          <t>Total contract value</t>
        </is>
      </c>
      <c r="B3" s="11">
        <f>SUM('WIP Schedule'!C2:C7)</f>
        <v/>
      </c>
    </row>
    <row r="4">
      <c r="A4" s="5" t="inlineStr">
        <is>
          <t>Total estimated cost</t>
        </is>
      </c>
      <c r="B4" s="11">
        <f>SUM('WIP Schedule'!D2:D7)</f>
        <v/>
      </c>
    </row>
    <row r="5">
      <c r="A5" s="5" t="inlineStr">
        <is>
          <t>Total cost to date</t>
        </is>
      </c>
      <c r="B5" s="11">
        <f>SUM('WIP Schedule'!E2:E7)</f>
        <v/>
      </c>
    </row>
    <row r="6">
      <c r="A6" s="5" t="inlineStr">
        <is>
          <t>Total billed to date</t>
        </is>
      </c>
      <c r="B6" s="11">
        <f>SUM('WIP Schedule'!F2:F7)</f>
        <v/>
      </c>
    </row>
    <row r="7">
      <c r="A7" s="5" t="inlineStr">
        <is>
          <t>Total earned revenue</t>
        </is>
      </c>
      <c r="B7" s="11">
        <f>SUM('WIP Schedule'!H2:H7)</f>
        <v/>
      </c>
    </row>
    <row r="8">
      <c r="A8" s="5" t="inlineStr">
        <is>
          <t>Net over/under billing</t>
        </is>
      </c>
      <c r="B8" s="11">
        <f>SUM('WIP Schedule'!L2:L7)</f>
        <v/>
      </c>
    </row>
    <row r="9">
      <c r="A9" s="5" t="inlineStr">
        <is>
          <t>Gross profit to date</t>
        </is>
      </c>
      <c r="B9" s="11">
        <f>SUM('WIP Schedule'!K2:K7)</f>
        <v/>
      </c>
    </row>
    <row r="10">
      <c r="A10" s="5" t="inlineStr">
        <is>
          <t>Est. gross profit at completion</t>
        </is>
      </c>
      <c r="B10" s="11">
        <f>SUM('WIP Schedule'!J2:J7)</f>
        <v/>
      </c>
    </row>
    <row r="11">
      <c r="A11" s="5" t="inlineStr">
        <is>
          <t>Underbilled jobs</t>
        </is>
      </c>
      <c r="B11" s="12">
        <f>COUNTIF('WIP Schedule'!M2:M7,"Underbilled")</f>
        <v/>
      </c>
    </row>
    <row r="12">
      <c r="A12" s="5" t="inlineStr">
        <is>
          <t>Overbilled jobs</t>
        </is>
      </c>
      <c r="B12" s="12">
        <f>COUNTIF('WIP Schedule'!M2:M7,"Overbilled")</f>
        <v/>
      </c>
    </row>
    <row r="13">
      <c r="A13" s="5" t="inlineStr">
        <is>
          <t>Even jobs</t>
        </is>
      </c>
      <c r="B13" s="12">
        <f>COUNTIF('WIP Schedule'!M2:M7,"Even")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2026-06-29T05:56:53Z</dcterms:created>
  <dcterms:modified xsi:type="dcterms:W3CDTF">2026-06-29T05:56:53Z</dcterms:modified>
</cp:coreProperties>
</file>