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Department</t>
        </is>
      </c>
      <c r="B1" s="1" t="inlineStr">
        <is>
          <t>Driver</t>
        </is>
      </c>
      <c r="C1" s="1" t="inlineStr">
        <is>
          <t>Cloud hosting</t>
        </is>
      </c>
      <c r="D1" s="1" t="inlineStr">
        <is>
          <t>Security tooling</t>
        </is>
      </c>
      <c r="E1" s="1" t="inlineStr">
        <is>
          <t>Shared licenses</t>
        </is>
      </c>
      <c r="F1" s="1" t="inlineStr">
        <is>
          <t>Total</t>
        </is>
      </c>
    </row>
    <row r="2">
      <c r="A2" s="2" t="inlineStr">
        <is>
          <t>Pool amount</t>
        </is>
      </c>
      <c r="B2" t="n">
        <v>100</v>
      </c>
      <c r="C2" s="3" t="n">
        <v>60000</v>
      </c>
      <c r="D2" s="3" t="n">
        <v>25000</v>
      </c>
      <c r="E2" s="3" t="n">
        <v>15000</v>
      </c>
      <c r="F2" s="3">
        <f>SUM(C2:E2)</f>
        <v/>
      </c>
    </row>
    <row r="3">
      <c r="A3" t="inlineStr">
        <is>
          <t>Engineering</t>
        </is>
      </c>
      <c r="B3" t="n">
        <v>40</v>
      </c>
      <c r="C3" s="4">
        <f>ROUND(C$2*$B3/$B$2,2)</f>
        <v/>
      </c>
      <c r="D3" s="4">
        <f>ROUND(D$2*$B3/$B$2,2)</f>
        <v/>
      </c>
      <c r="E3" s="4">
        <f>ROUND(E$2*$B3/$B$2,2)</f>
        <v/>
      </c>
      <c r="F3" s="4">
        <f>SUM(C3:E3)</f>
        <v/>
      </c>
    </row>
    <row r="4">
      <c r="A4" t="inlineStr">
        <is>
          <t>Finance</t>
        </is>
      </c>
      <c r="B4" t="n">
        <v>15</v>
      </c>
      <c r="C4" s="4">
        <f>ROUND(C$2*$B4/$B$2,2)</f>
        <v/>
      </c>
      <c r="D4" s="4">
        <f>ROUND(D$2*$B4/$B$2,2)</f>
        <v/>
      </c>
      <c r="E4" s="4">
        <f>ROUND(E$2*$B4/$B$2,2)</f>
        <v/>
      </c>
      <c r="F4" s="4">
        <f>SUM(C4:E4)</f>
        <v/>
      </c>
    </row>
    <row r="5">
      <c r="A5" t="inlineStr">
        <is>
          <t>Sales</t>
        </is>
      </c>
      <c r="B5" t="n">
        <v>25</v>
      </c>
      <c r="C5" s="4">
        <f>ROUND(C$2*$B5/$B$2,2)</f>
        <v/>
      </c>
      <c r="D5" s="4">
        <f>ROUND(D$2*$B5/$B$2,2)</f>
        <v/>
      </c>
      <c r="E5" s="4">
        <f>ROUND(E$2*$B5/$B$2,2)</f>
        <v/>
      </c>
      <c r="F5" s="4">
        <f>SUM(C5:E5)</f>
        <v/>
      </c>
    </row>
    <row r="6">
      <c r="A6" t="inlineStr">
        <is>
          <t>Support</t>
        </is>
      </c>
      <c r="B6" t="n">
        <v>20</v>
      </c>
      <c r="C6" s="4">
        <f>ROUND(C$2*$B6/$B$2,2)</f>
        <v/>
      </c>
      <c r="D6" s="4">
        <f>ROUND(D$2*$B6/$B$2,2)</f>
        <v/>
      </c>
      <c r="E6" s="4">
        <f>ROUND(E$2*$B6/$B$2,2)</f>
        <v/>
      </c>
      <c r="F6" s="4">
        <f>SUM(C6:E6)</f>
        <v/>
      </c>
    </row>
    <row r="7">
      <c r="A7" s="5" t="inlineStr">
        <is>
          <t>Total</t>
        </is>
      </c>
      <c r="B7" s="5">
        <f>SUM(B3:B6)</f>
        <v/>
      </c>
      <c r="C7" s="6">
        <f>SUM(C3:C6)</f>
        <v/>
      </c>
      <c r="D7" s="6">
        <f>SUM(D3:D6)</f>
        <v/>
      </c>
      <c r="E7" s="6">
        <f>SUM(E3:E6)</f>
        <v/>
      </c>
      <c r="F7" s="6">
        <f>SUM(F3:F6)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4" customHeight="1">
      <c r="A1" s="7" t="inlineStr">
        <is>
          <t>IT Showback Dashboard</t>
        </is>
      </c>
      <c r="B1" s="8" t="n"/>
    </row>
    <row r="3">
      <c r="A3" s="2" t="inlineStr">
        <is>
          <t>Total pool</t>
        </is>
      </c>
      <c r="B3" s="9">
        <f>'Allocation'!F2</f>
        <v/>
      </c>
    </row>
    <row r="4">
      <c r="A4" s="2" t="inlineStr">
        <is>
          <t>Total allocated</t>
        </is>
      </c>
      <c r="B4" s="9">
        <f>'Allocation'!F7</f>
        <v/>
      </c>
    </row>
    <row r="5">
      <c r="A5" s="2" t="inlineStr">
        <is>
          <t>Departments</t>
        </is>
      </c>
      <c r="B5" s="10" t="n">
        <v>4</v>
      </c>
    </row>
    <row r="6">
      <c r="A6" s="2" t="inlineStr">
        <is>
          <t>Engineering chargeback</t>
        </is>
      </c>
      <c r="B6" s="9">
        <f>'Allocation'!F3</f>
        <v/>
      </c>
    </row>
    <row r="7">
      <c r="A7" s="2" t="inlineStr">
        <is>
          <t>Finance chargeback</t>
        </is>
      </c>
      <c r="B7" s="9">
        <f>'Allocation'!F4</f>
        <v/>
      </c>
    </row>
    <row r="8">
      <c r="A8" s="2" t="inlineStr">
        <is>
          <t>Sales chargeback</t>
        </is>
      </c>
      <c r="B8" s="9">
        <f>'Allocation'!F5</f>
        <v/>
      </c>
    </row>
    <row r="9">
      <c r="A9" s="2" t="inlineStr">
        <is>
          <t>Support chargeback</t>
        </is>
      </c>
      <c r="B9" s="9">
        <f>'Allocation'!F6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2026-07-02T10:06:08Z</dcterms:created>
  <dcterms:modified xsi:type="dcterms:W3CDTF">2026-07-02T10:06:08Z</dcterms:modified>
</cp:coreProperties>
</file>