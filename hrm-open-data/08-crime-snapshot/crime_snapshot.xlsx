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_ar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2">
    <border>
      <left/>
      <right/>
      <top/>
      <bottom/>
      <diagonal/>
    </border>
    <border>
      <left style="thin">
        <color rgb="00B7C4D0"/>
      </left>
      <right style="thin">
        <color rgb="00B7C4D0"/>
      </right>
      <top style="thin">
        <color rgb="00B7C4D0"/>
      </top>
      <bottom style="thin">
        <color rgb="00B7C4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8" customWidth="1" min="4" max="4"/>
    <col width="26" customWidth="1" min="5" max="5"/>
  </cols>
  <sheetData>
    <row r="1">
      <c r="A1" s="1" t="inlineStr">
        <is>
          <t>evt_date</t>
        </is>
      </c>
      <c r="B1" s="1" t="inlineStr">
        <is>
          <t>evt_rin</t>
        </is>
      </c>
      <c r="C1" s="1" t="inlineStr">
        <is>
          <t>category</t>
        </is>
      </c>
      <c r="D1" s="1" t="inlineStr">
        <is>
          <t>code</t>
        </is>
      </c>
      <c r="E1" s="1" t="inlineStr">
        <is>
          <t>location</t>
        </is>
      </c>
    </row>
    <row r="2">
      <c r="A2" s="2" t="n">
        <v>46208</v>
      </c>
      <c r="B2" t="n">
        <v>1530092</v>
      </c>
      <c r="C2" t="inlineStr">
        <is>
          <t>THEFT FROM VEHICLE</t>
        </is>
      </c>
      <c r="D2" t="n">
        <v>2142</v>
      </c>
      <c r="E2" t="inlineStr">
        <is>
          <t>ALBEMARLE ST</t>
        </is>
      </c>
    </row>
    <row r="3">
      <c r="A3" s="2" t="n">
        <v>46208</v>
      </c>
      <c r="B3" t="n">
        <v>1530116</v>
      </c>
      <c r="C3" t="inlineStr">
        <is>
          <t>BREAK AND ENTER</t>
        </is>
      </c>
      <c r="D3" t="n">
        <v>2120</v>
      </c>
      <c r="E3" t="inlineStr">
        <is>
          <t>BRUNSWICK ST</t>
        </is>
      </c>
    </row>
    <row r="4">
      <c r="A4" s="2" t="n">
        <v>46208</v>
      </c>
      <c r="B4" t="n">
        <v>1530119</v>
      </c>
      <c r="C4" t="inlineStr">
        <is>
          <t>THEFT OF VEHICLE</t>
        </is>
      </c>
      <c r="D4" t="n">
        <v>2135</v>
      </c>
      <c r="E4" t="inlineStr">
        <is>
          <t>STONEYBROOK CRT</t>
        </is>
      </c>
    </row>
    <row r="5">
      <c r="A5" s="2" t="n">
        <v>46208</v>
      </c>
      <c r="B5" t="n">
        <v>1530145</v>
      </c>
      <c r="C5" t="inlineStr">
        <is>
          <t>THEFT FROM VEHICLE</t>
        </is>
      </c>
      <c r="D5" t="n">
        <v>2132</v>
      </c>
      <c r="E5" t="inlineStr">
        <is>
          <t>SHAUGHNESSY PL</t>
        </is>
      </c>
    </row>
    <row r="6">
      <c r="A6" s="2" t="n">
        <v>46208</v>
      </c>
      <c r="B6" t="n">
        <v>1530152</v>
      </c>
      <c r="C6" t="inlineStr">
        <is>
          <t>ASSAULT</t>
        </is>
      </c>
      <c r="D6" t="n">
        <v>1430</v>
      </c>
      <c r="E6" t="inlineStr">
        <is>
          <t>ARMENIA DR</t>
        </is>
      </c>
    </row>
    <row r="7">
      <c r="A7" s="2" t="n">
        <v>46208</v>
      </c>
      <c r="B7" t="n">
        <v>1530153</v>
      </c>
      <c r="C7" t="inlineStr">
        <is>
          <t>THEFT FROM VEHICLE</t>
        </is>
      </c>
      <c r="D7" t="n">
        <v>2132</v>
      </c>
      <c r="E7" t="inlineStr">
        <is>
          <t>VIMY AVE</t>
        </is>
      </c>
    </row>
    <row r="8">
      <c r="A8" s="2" t="n">
        <v>46208</v>
      </c>
      <c r="B8" t="n">
        <v>1530160</v>
      </c>
      <c r="C8" t="inlineStr">
        <is>
          <t>ASSAULT</t>
        </is>
      </c>
      <c r="D8" t="n">
        <v>1430</v>
      </c>
      <c r="E8" t="inlineStr">
        <is>
          <t>HALEF CRT</t>
        </is>
      </c>
    </row>
    <row r="9">
      <c r="A9" s="2" t="n">
        <v>46208</v>
      </c>
      <c r="B9" t="n">
        <v>1530192</v>
      </c>
      <c r="C9" t="inlineStr">
        <is>
          <t>ASSAULT</t>
        </is>
      </c>
      <c r="D9" t="n">
        <v>1430</v>
      </c>
      <c r="E9" t="inlineStr">
        <is>
          <t>GREENWOOD AVE</t>
        </is>
      </c>
    </row>
    <row r="10">
      <c r="A10" s="2" t="n">
        <v>46208</v>
      </c>
      <c r="B10" t="n">
        <v>1530214</v>
      </c>
      <c r="C10" t="inlineStr">
        <is>
          <t>ASSAULT</t>
        </is>
      </c>
      <c r="D10" t="n">
        <v>1460</v>
      </c>
      <c r="E10" t="inlineStr">
        <is>
          <t>HIGHWAY 111 WB EXIT 5 ON RAMP / LAKESHORE PARK TERR</t>
        </is>
      </c>
    </row>
    <row r="11">
      <c r="A11" s="2" t="n">
        <v>46208</v>
      </c>
      <c r="B11" t="n">
        <v>1530236</v>
      </c>
      <c r="C11" t="inlineStr">
        <is>
          <t>ASSAULT</t>
        </is>
      </c>
      <c r="D11" t="n">
        <v>1430</v>
      </c>
      <c r="E11" t="inlineStr">
        <is>
          <t>LOWER WATER ST</t>
        </is>
      </c>
    </row>
    <row r="12">
      <c r="A12" s="2" t="n">
        <v>46208</v>
      </c>
      <c r="B12" t="n">
        <v>1530242</v>
      </c>
      <c r="C12" t="inlineStr">
        <is>
          <t>ASSAULT</t>
        </is>
      </c>
      <c r="D12" t="n">
        <v>1420</v>
      </c>
      <c r="E12" t="inlineStr">
        <is>
          <t>BEDFORD HWY</t>
        </is>
      </c>
    </row>
    <row r="13">
      <c r="A13" s="2" t="n">
        <v>46209</v>
      </c>
      <c r="B13" t="n">
        <v>1530248</v>
      </c>
      <c r="C13" t="inlineStr">
        <is>
          <t>ASSAULT</t>
        </is>
      </c>
      <c r="D13" t="n">
        <v>1420</v>
      </c>
      <c r="E13" t="inlineStr">
        <is>
          <t>ROMANS AVE</t>
        </is>
      </c>
    </row>
    <row r="14">
      <c r="A14" s="2" t="n">
        <v>46209</v>
      </c>
      <c r="B14" t="n">
        <v>1530251</v>
      </c>
      <c r="C14" t="inlineStr">
        <is>
          <t>THEFT FROM VEHICLE</t>
        </is>
      </c>
      <c r="D14" t="n">
        <v>2132</v>
      </c>
      <c r="E14" t="inlineStr">
        <is>
          <t>CREIGHTON ST / NORA BERNARD ST</t>
        </is>
      </c>
    </row>
    <row r="15">
      <c r="A15" s="2" t="n">
        <v>46209</v>
      </c>
      <c r="B15" t="n">
        <v>1530254</v>
      </c>
      <c r="C15" t="inlineStr">
        <is>
          <t>ASSAULT</t>
        </is>
      </c>
      <c r="D15" t="n">
        <v>1430</v>
      </c>
      <c r="E15" t="inlineStr">
        <is>
          <t>NORMA EDDY LANE</t>
        </is>
      </c>
    </row>
    <row r="16">
      <c r="A16" s="2" t="n">
        <v>46209</v>
      </c>
      <c r="B16" t="n">
        <v>1530275</v>
      </c>
      <c r="C16" t="inlineStr">
        <is>
          <t>ASSAULT</t>
        </is>
      </c>
      <c r="D16" t="n">
        <v>1430</v>
      </c>
      <c r="E16" t="inlineStr">
        <is>
          <t>ST MATTHIAS ST / CHEBUCTO RD</t>
        </is>
      </c>
    </row>
    <row r="17">
      <c r="A17" s="2" t="n">
        <v>46209</v>
      </c>
      <c r="B17" t="n">
        <v>1530308</v>
      </c>
      <c r="C17" t="inlineStr">
        <is>
          <t>BREAK AND ENTER</t>
        </is>
      </c>
      <c r="D17" t="n">
        <v>2120</v>
      </c>
      <c r="E17" t="inlineStr">
        <is>
          <t>HIGHWAY 7</t>
        </is>
      </c>
    </row>
    <row r="18">
      <c r="A18" s="2" t="n">
        <v>46209</v>
      </c>
      <c r="B18" t="n">
        <v>1530317</v>
      </c>
      <c r="C18" t="inlineStr">
        <is>
          <t>THEFT OF VEHICLE</t>
        </is>
      </c>
      <c r="D18" t="n">
        <v>2135</v>
      </c>
      <c r="E18" t="inlineStr">
        <is>
          <t>SLAYTER ST / SCHOOL ST</t>
        </is>
      </c>
    </row>
    <row r="19">
      <c r="A19" s="2" t="n">
        <v>46209</v>
      </c>
      <c r="B19" t="n">
        <v>1530329</v>
      </c>
      <c r="C19" t="inlineStr">
        <is>
          <t>BREAK AND ENTER</t>
        </is>
      </c>
      <c r="D19" t="n">
        <v>2120</v>
      </c>
      <c r="E19" t="inlineStr">
        <is>
          <t>KEMPT RD</t>
        </is>
      </c>
    </row>
    <row r="20">
      <c r="A20" s="2" t="n">
        <v>46209</v>
      </c>
      <c r="B20" t="n">
        <v>1530367</v>
      </c>
      <c r="C20" t="inlineStr">
        <is>
          <t>BREAK AND ENTER</t>
        </is>
      </c>
      <c r="D20" t="n">
        <v>2120</v>
      </c>
      <c r="E20" t="inlineStr">
        <is>
          <t>YALE ST</t>
        </is>
      </c>
    </row>
    <row r="21">
      <c r="A21" s="2" t="n">
        <v>46209</v>
      </c>
      <c r="B21" t="n">
        <v>1530401</v>
      </c>
      <c r="C21" t="inlineStr">
        <is>
          <t>THEFT FROM VEHICLE</t>
        </is>
      </c>
      <c r="D21" t="n">
        <v>2142</v>
      </c>
      <c r="E21" t="inlineStr">
        <is>
          <t>FLAMINGO DR</t>
        </is>
      </c>
    </row>
    <row r="22">
      <c r="A22" s="2" t="n">
        <v>46209</v>
      </c>
      <c r="B22" t="n">
        <v>1530431</v>
      </c>
      <c r="C22" t="inlineStr">
        <is>
          <t>THEFT FROM VEHICLE</t>
        </is>
      </c>
      <c r="D22" t="n">
        <v>2142</v>
      </c>
      <c r="E22" t="inlineStr">
        <is>
          <t>WARRIOR AVE</t>
        </is>
      </c>
    </row>
    <row r="23">
      <c r="A23" s="2" t="n">
        <v>46209</v>
      </c>
      <c r="B23" t="n">
        <v>1530435</v>
      </c>
      <c r="C23" t="inlineStr">
        <is>
          <t>THEFT FROM VEHICLE</t>
        </is>
      </c>
      <c r="D23" t="n">
        <v>2132</v>
      </c>
      <c r="E23" t="inlineStr">
        <is>
          <t>GORSEBROOK AVE</t>
        </is>
      </c>
    </row>
    <row r="24">
      <c r="A24" s="2" t="n">
        <v>46209</v>
      </c>
      <c r="B24" t="n">
        <v>1530465</v>
      </c>
      <c r="C24" t="inlineStr">
        <is>
          <t>ASSAULT</t>
        </is>
      </c>
      <c r="D24" t="n">
        <v>1430</v>
      </c>
      <c r="E24" t="inlineStr">
        <is>
          <t>GLENN AVE</t>
        </is>
      </c>
    </row>
    <row r="25">
      <c r="A25" s="2" t="n">
        <v>46209</v>
      </c>
      <c r="B25" t="n">
        <v>1530473</v>
      </c>
      <c r="C25" t="inlineStr">
        <is>
          <t>ASSAULT</t>
        </is>
      </c>
      <c r="D25" t="n">
        <v>1430</v>
      </c>
      <c r="E25" t="inlineStr">
        <is>
          <t>GREENWOOD AVE</t>
        </is>
      </c>
    </row>
    <row r="26">
      <c r="A26" s="2" t="n">
        <v>46209</v>
      </c>
      <c r="B26" t="n">
        <v>1530536</v>
      </c>
      <c r="C26" t="inlineStr">
        <is>
          <t>THEFT FROM VEHICLE</t>
        </is>
      </c>
      <c r="D26" t="n">
        <v>2142</v>
      </c>
      <c r="E26" t="inlineStr">
        <is>
          <t>ARMOURY PL</t>
        </is>
      </c>
    </row>
    <row r="27">
      <c r="A27" s="2" t="n">
        <v>46209</v>
      </c>
      <c r="B27" t="n">
        <v>1530573</v>
      </c>
      <c r="C27" t="inlineStr">
        <is>
          <t>BREAK AND ENTER</t>
        </is>
      </c>
      <c r="D27" t="n">
        <v>2120</v>
      </c>
      <c r="E27" t="inlineStr">
        <is>
          <t>JOSEPH HOWE DR</t>
        </is>
      </c>
    </row>
    <row r="28">
      <c r="A28" s="2" t="n">
        <v>46210</v>
      </c>
      <c r="B28" t="n">
        <v>1530503</v>
      </c>
      <c r="C28" t="inlineStr">
        <is>
          <t>THEFT FROM VEHICLE</t>
        </is>
      </c>
      <c r="D28" t="n">
        <v>2142</v>
      </c>
      <c r="E28" t="inlineStr">
        <is>
          <t>QUEEN ST</t>
        </is>
      </c>
    </row>
    <row r="29">
      <c r="A29" s="2" t="n">
        <v>46210</v>
      </c>
      <c r="B29" t="n">
        <v>1530530</v>
      </c>
      <c r="C29" t="inlineStr">
        <is>
          <t>THEFT FROM VEHICLE</t>
        </is>
      </c>
      <c r="D29" t="n">
        <v>2132</v>
      </c>
      <c r="E29" t="inlineStr">
        <is>
          <t>MEMORIAL DR</t>
        </is>
      </c>
    </row>
    <row r="30">
      <c r="A30" s="2" t="n">
        <v>46210</v>
      </c>
      <c r="B30" t="n">
        <v>1530539</v>
      </c>
      <c r="C30" t="inlineStr">
        <is>
          <t>THEFT FROM VEHICLE</t>
        </is>
      </c>
      <c r="D30" t="n">
        <v>2132</v>
      </c>
      <c r="E30" t="inlineStr">
        <is>
          <t>CAMBRIDGE ST</t>
        </is>
      </c>
    </row>
    <row r="31">
      <c r="A31" s="2" t="n">
        <v>46210</v>
      </c>
      <c r="B31" t="n">
        <v>1530543</v>
      </c>
      <c r="C31" t="inlineStr">
        <is>
          <t>THEFT FROM VEHICLE</t>
        </is>
      </c>
      <c r="D31" t="n">
        <v>2142</v>
      </c>
      <c r="E31" t="inlineStr">
        <is>
          <t>BERKSHIRE CL</t>
        </is>
      </c>
    </row>
    <row r="32">
      <c r="A32" s="2" t="n">
        <v>46210</v>
      </c>
      <c r="B32" t="n">
        <v>1530553</v>
      </c>
      <c r="C32" t="inlineStr">
        <is>
          <t>ASSAULT</t>
        </is>
      </c>
      <c r="D32" t="n">
        <v>1420</v>
      </c>
      <c r="E32" t="inlineStr">
        <is>
          <t>DRYSDALE RD</t>
        </is>
      </c>
    </row>
    <row r="33">
      <c r="A33" s="2" t="n">
        <v>46210</v>
      </c>
      <c r="B33" t="n">
        <v>1530556</v>
      </c>
      <c r="C33" t="inlineStr">
        <is>
          <t>THEFT FROM VEHICLE</t>
        </is>
      </c>
      <c r="D33" t="n">
        <v>2142</v>
      </c>
      <c r="E33" t="inlineStr">
        <is>
          <t>WINDSTONE CL</t>
        </is>
      </c>
    </row>
    <row r="34">
      <c r="A34" s="2" t="n">
        <v>46210</v>
      </c>
      <c r="B34" t="n">
        <v>1530560</v>
      </c>
      <c r="C34" t="inlineStr">
        <is>
          <t>THEFT FROM VEHICLE</t>
        </is>
      </c>
      <c r="D34" t="n">
        <v>2132</v>
      </c>
      <c r="E34" t="inlineStr">
        <is>
          <t>QUEEN ST</t>
        </is>
      </c>
    </row>
    <row r="35">
      <c r="A35" s="2" t="n">
        <v>46210</v>
      </c>
      <c r="B35" t="n">
        <v>1530580</v>
      </c>
      <c r="C35" t="inlineStr">
        <is>
          <t>THEFT FROM VEHICLE</t>
        </is>
      </c>
      <c r="D35" t="n">
        <v>2142</v>
      </c>
      <c r="E35" t="inlineStr">
        <is>
          <t>FENWICK ST</t>
        </is>
      </c>
    </row>
    <row r="36">
      <c r="A36" s="2" t="n">
        <v>46210</v>
      </c>
      <c r="B36" t="n">
        <v>1530632</v>
      </c>
      <c r="C36" t="inlineStr">
        <is>
          <t>ASSAULT</t>
        </is>
      </c>
      <c r="D36" t="n">
        <v>1430</v>
      </c>
      <c r="E36" t="inlineStr">
        <is>
          <t>ST MARGARETS BAY RD</t>
        </is>
      </c>
    </row>
    <row r="37">
      <c r="A37" s="2" t="n">
        <v>46210</v>
      </c>
      <c r="B37" t="n">
        <v>1530638</v>
      </c>
      <c r="C37" t="inlineStr">
        <is>
          <t>BREAK AND ENTER</t>
        </is>
      </c>
      <c r="D37" t="n">
        <v>2120</v>
      </c>
      <c r="E37" t="inlineStr">
        <is>
          <t>SUMMER ST</t>
        </is>
      </c>
    </row>
    <row r="38">
      <c r="A38" s="2" t="n">
        <v>46210</v>
      </c>
      <c r="B38" t="n">
        <v>1530646</v>
      </c>
      <c r="C38" t="inlineStr">
        <is>
          <t>THEFT FROM VEHICLE</t>
        </is>
      </c>
      <c r="D38" t="n">
        <v>2142</v>
      </c>
      <c r="E38" t="inlineStr">
        <is>
          <t>BELL RD</t>
        </is>
      </c>
    </row>
    <row r="39">
      <c r="A39" s="2" t="n">
        <v>46210</v>
      </c>
      <c r="B39" t="n">
        <v>1530664</v>
      </c>
      <c r="C39" t="inlineStr">
        <is>
          <t>ASSAULT</t>
        </is>
      </c>
      <c r="D39" t="n">
        <v>1430</v>
      </c>
      <c r="E39" t="inlineStr">
        <is>
          <t>WOODLAWN RD</t>
        </is>
      </c>
    </row>
    <row r="40">
      <c r="A40" s="2" t="n">
        <v>46210</v>
      </c>
      <c r="B40" t="n">
        <v>1530665</v>
      </c>
      <c r="C40" t="inlineStr">
        <is>
          <t>THEFT OF VEHICLE</t>
        </is>
      </c>
      <c r="D40" t="n">
        <v>2135</v>
      </c>
      <c r="E40" t="inlineStr">
        <is>
          <t>WOODSMERE CL</t>
        </is>
      </c>
    </row>
    <row r="41">
      <c r="A41" s="2" t="n">
        <v>46210</v>
      </c>
      <c r="B41" t="n">
        <v>1530686</v>
      </c>
      <c r="C41" t="inlineStr">
        <is>
          <t>THEFT FROM VEHICLE</t>
        </is>
      </c>
      <c r="D41" t="n">
        <v>2142</v>
      </c>
      <c r="E41" t="inlineStr">
        <is>
          <t>LARRY UTECK BLVD</t>
        </is>
      </c>
    </row>
    <row r="42">
      <c r="A42" s="2" t="n">
        <v>46210</v>
      </c>
      <c r="B42" t="n">
        <v>1530687</v>
      </c>
      <c r="C42" t="inlineStr">
        <is>
          <t>ASSAULT</t>
        </is>
      </c>
      <c r="D42" t="n">
        <v>1430</v>
      </c>
      <c r="E42" t="inlineStr">
        <is>
          <t>SPRING GARDEN RD</t>
        </is>
      </c>
    </row>
    <row r="43">
      <c r="A43" s="2" t="n">
        <v>46210</v>
      </c>
      <c r="B43" t="n">
        <v>1530688</v>
      </c>
      <c r="C43" t="inlineStr">
        <is>
          <t>ASSAULT</t>
        </is>
      </c>
      <c r="D43" t="n">
        <v>1430</v>
      </c>
      <c r="E43" t="inlineStr">
        <is>
          <t>HERRING COVE RD</t>
        </is>
      </c>
    </row>
    <row r="44">
      <c r="A44" s="2" t="n">
        <v>46210</v>
      </c>
      <c r="B44" t="n">
        <v>1530702</v>
      </c>
      <c r="C44" t="inlineStr">
        <is>
          <t>ASSAULT</t>
        </is>
      </c>
      <c r="D44" t="n">
        <v>1430</v>
      </c>
      <c r="E44" t="inlineStr">
        <is>
          <t>MAIN AVE</t>
        </is>
      </c>
    </row>
    <row r="45">
      <c r="A45" s="2" t="n">
        <v>46210</v>
      </c>
      <c r="B45" t="n">
        <v>1530723</v>
      </c>
      <c r="C45" t="inlineStr">
        <is>
          <t>ASSAULT</t>
        </is>
      </c>
      <c r="D45" t="n">
        <v>1430</v>
      </c>
      <c r="E45" t="inlineStr">
        <is>
          <t>METROPOLITAN AVE</t>
        </is>
      </c>
    </row>
    <row r="46">
      <c r="A46" s="2" t="n">
        <v>46210</v>
      </c>
      <c r="B46" t="n">
        <v>1530744</v>
      </c>
      <c r="C46" t="inlineStr">
        <is>
          <t>ASSAULT</t>
        </is>
      </c>
      <c r="D46" t="n">
        <v>1430</v>
      </c>
      <c r="E46" t="inlineStr">
        <is>
          <t>DUTCH VILLAGE RD</t>
        </is>
      </c>
    </row>
    <row r="47">
      <c r="A47" s="2" t="n">
        <v>46210</v>
      </c>
      <c r="B47" t="n">
        <v>1530786</v>
      </c>
      <c r="C47" t="inlineStr">
        <is>
          <t>THEFT FROM VEHICLE</t>
        </is>
      </c>
      <c r="D47" t="n">
        <v>2142</v>
      </c>
      <c r="E47" t="inlineStr">
        <is>
          <t>CEDAR ST</t>
        </is>
      </c>
    </row>
    <row r="48">
      <c r="A48" s="2" t="n">
        <v>46210</v>
      </c>
      <c r="B48" t="n">
        <v>1531102</v>
      </c>
      <c r="C48" t="inlineStr">
        <is>
          <t>THEFT FROM VEHICLE</t>
        </is>
      </c>
      <c r="D48" t="n">
        <v>2142</v>
      </c>
      <c r="E48" t="inlineStr">
        <is>
          <t>CUNARD ST</t>
        </is>
      </c>
    </row>
    <row r="49">
      <c r="A49" s="2" t="n">
        <v>46211</v>
      </c>
      <c r="B49" t="n">
        <v>1530747</v>
      </c>
      <c r="C49" t="inlineStr">
        <is>
          <t>BREAK AND ENTER</t>
        </is>
      </c>
      <c r="D49" t="n">
        <v>2120</v>
      </c>
      <c r="E49" t="inlineStr">
        <is>
          <t>PORTLAND PL</t>
        </is>
      </c>
    </row>
    <row r="50">
      <c r="A50" s="2" t="n">
        <v>46211</v>
      </c>
      <c r="B50" t="n">
        <v>1530760</v>
      </c>
      <c r="C50" t="inlineStr">
        <is>
          <t>THEFT FROM VEHICLE</t>
        </is>
      </c>
      <c r="D50" t="n">
        <v>2142</v>
      </c>
      <c r="E50" t="inlineStr">
        <is>
          <t>HIGHFIELD PARK DR</t>
        </is>
      </c>
    </row>
    <row r="51">
      <c r="A51" s="2" t="n">
        <v>46211</v>
      </c>
      <c r="B51" t="n">
        <v>1530761</v>
      </c>
      <c r="C51" t="inlineStr">
        <is>
          <t>THEFT FROM VEHICLE</t>
        </is>
      </c>
      <c r="D51" t="n">
        <v>2142</v>
      </c>
      <c r="E51" t="inlineStr">
        <is>
          <t>SPRING GARDEN RD</t>
        </is>
      </c>
    </row>
    <row r="52">
      <c r="A52" s="2" t="n">
        <v>46211</v>
      </c>
      <c r="B52" t="n">
        <v>1530771</v>
      </c>
      <c r="C52" t="inlineStr">
        <is>
          <t>THEFT FROM VEHICLE</t>
        </is>
      </c>
      <c r="D52" t="n">
        <v>2142</v>
      </c>
      <c r="E52" t="inlineStr">
        <is>
          <t>PINECREST DR</t>
        </is>
      </c>
    </row>
    <row r="53">
      <c r="A53" s="2" t="n">
        <v>46211</v>
      </c>
      <c r="B53" t="n">
        <v>1530785</v>
      </c>
      <c r="C53" t="inlineStr">
        <is>
          <t>THEFT FROM VEHICLE</t>
        </is>
      </c>
      <c r="D53" t="n">
        <v>2142</v>
      </c>
      <c r="E53" t="inlineStr">
        <is>
          <t>GREEN ST</t>
        </is>
      </c>
    </row>
    <row r="54">
      <c r="A54" s="2" t="n">
        <v>46211</v>
      </c>
      <c r="B54" t="n">
        <v>1530791</v>
      </c>
      <c r="C54" t="inlineStr">
        <is>
          <t>THEFT FROM VEHICLE</t>
        </is>
      </c>
      <c r="D54" t="n">
        <v>2142</v>
      </c>
      <c r="E54" t="inlineStr">
        <is>
          <t>BRULE ST</t>
        </is>
      </c>
    </row>
    <row r="55">
      <c r="A55" s="2" t="n">
        <v>46211</v>
      </c>
      <c r="B55" t="n">
        <v>1530828</v>
      </c>
      <c r="C55" t="inlineStr">
        <is>
          <t>ASSAULT</t>
        </is>
      </c>
      <c r="D55" t="n">
        <v>1420</v>
      </c>
      <c r="E55" t="inlineStr">
        <is>
          <t>MUMFORD RD</t>
        </is>
      </c>
    </row>
    <row r="56">
      <c r="A56" s="2" t="n">
        <v>46211</v>
      </c>
      <c r="B56" t="n">
        <v>1530858</v>
      </c>
      <c r="C56" t="inlineStr">
        <is>
          <t>THEFT FROM VEHICLE</t>
        </is>
      </c>
      <c r="D56" t="n">
        <v>2142</v>
      </c>
      <c r="E56" t="inlineStr">
        <is>
          <t>INNOVATION DR</t>
        </is>
      </c>
    </row>
    <row r="57">
      <c r="A57" s="2" t="n">
        <v>46211</v>
      </c>
      <c r="B57" t="n">
        <v>1530873</v>
      </c>
      <c r="C57" t="inlineStr">
        <is>
          <t>ASSAULT</t>
        </is>
      </c>
      <c r="D57" t="n">
        <v>1430</v>
      </c>
      <c r="E57" t="inlineStr">
        <is>
          <t>HAYES ST</t>
        </is>
      </c>
    </row>
    <row r="58">
      <c r="A58" s="2" t="n">
        <v>46211</v>
      </c>
      <c r="B58" t="n">
        <v>1530886</v>
      </c>
      <c r="C58" t="inlineStr">
        <is>
          <t>ASSAULT</t>
        </is>
      </c>
      <c r="D58" t="n">
        <v>1420</v>
      </c>
      <c r="E58" t="inlineStr">
        <is>
          <t>NANTUCKET AVE</t>
        </is>
      </c>
    </row>
    <row r="59">
      <c r="A59" s="2" t="n">
        <v>46211</v>
      </c>
      <c r="B59" t="n">
        <v>1530976</v>
      </c>
      <c r="C59" t="inlineStr">
        <is>
          <t>THEFT FROM VEHICLE</t>
        </is>
      </c>
      <c r="D59" t="n">
        <v>2142</v>
      </c>
      <c r="E59" t="inlineStr">
        <is>
          <t>NORTH ST</t>
        </is>
      </c>
    </row>
    <row r="60">
      <c r="A60" s="2" t="n">
        <v>46211</v>
      </c>
      <c r="B60" t="n">
        <v>1531341</v>
      </c>
      <c r="C60" t="inlineStr">
        <is>
          <t>ASSAULT</t>
        </is>
      </c>
      <c r="D60" t="n">
        <v>1430</v>
      </c>
      <c r="E60" t="inlineStr">
        <is>
          <t>GLORIA MCCLUSKEY AVE</t>
        </is>
      </c>
    </row>
    <row r="61">
      <c r="A61" s="2" t="n">
        <v>46212</v>
      </c>
      <c r="B61" t="n">
        <v>1530956</v>
      </c>
      <c r="C61" t="inlineStr">
        <is>
          <t>BREAK AND ENTER</t>
        </is>
      </c>
      <c r="D61" t="n">
        <v>2120</v>
      </c>
      <c r="E61" t="inlineStr">
        <is>
          <t>MARKETWAY LANE</t>
        </is>
      </c>
    </row>
    <row r="62">
      <c r="A62" s="2" t="n">
        <v>46212</v>
      </c>
      <c r="B62" t="n">
        <v>1530963</v>
      </c>
      <c r="C62" t="inlineStr">
        <is>
          <t>BREAK AND ENTER</t>
        </is>
      </c>
      <c r="D62" t="n">
        <v>2120</v>
      </c>
      <c r="E62" t="inlineStr">
        <is>
          <t>CONNOLLY RD</t>
        </is>
      </c>
    </row>
    <row r="63">
      <c r="A63" s="2" t="n">
        <v>46212</v>
      </c>
      <c r="B63" t="n">
        <v>1530971</v>
      </c>
      <c r="C63" t="inlineStr">
        <is>
          <t>ASSAULT</t>
        </is>
      </c>
      <c r="D63" t="n">
        <v>1430</v>
      </c>
      <c r="E63" t="inlineStr">
        <is>
          <t>CLEARVIEW DR</t>
        </is>
      </c>
    </row>
    <row r="64">
      <c r="A64" s="2" t="n">
        <v>46212</v>
      </c>
      <c r="B64" t="n">
        <v>1530984</v>
      </c>
      <c r="C64" t="inlineStr">
        <is>
          <t>THEFT FROM VEHICLE</t>
        </is>
      </c>
      <c r="D64" t="n">
        <v>2142</v>
      </c>
      <c r="E64" t="inlineStr">
        <is>
          <t>MEADOWLARK CRES</t>
        </is>
      </c>
    </row>
    <row r="65">
      <c r="A65" s="2" t="n">
        <v>46212</v>
      </c>
      <c r="B65" t="n">
        <v>1531072</v>
      </c>
      <c r="C65" t="inlineStr">
        <is>
          <t>ASSAULT</t>
        </is>
      </c>
      <c r="D65" t="n">
        <v>1430</v>
      </c>
      <c r="E65" t="inlineStr">
        <is>
          <t>PORTLAND ST</t>
        </is>
      </c>
    </row>
    <row r="66">
      <c r="A66" s="2" t="n">
        <v>46212</v>
      </c>
      <c r="B66" t="n">
        <v>1531093</v>
      </c>
      <c r="C66" t="inlineStr">
        <is>
          <t>ASSAULT</t>
        </is>
      </c>
      <c r="D66" t="n">
        <v>1430</v>
      </c>
      <c r="E66" t="inlineStr">
        <is>
          <t>BARRINGTON ST</t>
        </is>
      </c>
    </row>
    <row r="67">
      <c r="A67" s="2" t="n">
        <v>46212</v>
      </c>
      <c r="B67" t="n">
        <v>1531095</v>
      </c>
      <c r="C67" t="inlineStr">
        <is>
          <t>ASSAULT</t>
        </is>
      </c>
      <c r="D67" t="n">
        <v>1430</v>
      </c>
      <c r="E67" t="inlineStr">
        <is>
          <t>SMITHS POINT RD</t>
        </is>
      </c>
    </row>
    <row r="68">
      <c r="A68" s="2" t="n">
        <v>46212</v>
      </c>
      <c r="B68" t="n">
        <v>1531107</v>
      </c>
      <c r="C68" t="inlineStr">
        <is>
          <t>ASSAULT</t>
        </is>
      </c>
      <c r="D68" t="n">
        <v>1420</v>
      </c>
      <c r="E68" t="inlineStr">
        <is>
          <t>HILLTOP DR</t>
        </is>
      </c>
    </row>
    <row r="69">
      <c r="A69" s="2" t="n">
        <v>46212</v>
      </c>
      <c r="B69" t="n">
        <v>1531110</v>
      </c>
      <c r="C69" t="inlineStr">
        <is>
          <t>THEFT FROM VEHICLE</t>
        </is>
      </c>
      <c r="D69" t="n">
        <v>2142</v>
      </c>
      <c r="E69" t="inlineStr">
        <is>
          <t>SPINNAKER DR</t>
        </is>
      </c>
    </row>
    <row r="70">
      <c r="A70" s="2" t="n">
        <v>46212</v>
      </c>
      <c r="B70" t="n">
        <v>1531119</v>
      </c>
      <c r="C70" t="inlineStr">
        <is>
          <t>ASSAULT</t>
        </is>
      </c>
      <c r="D70" t="n">
        <v>1430</v>
      </c>
      <c r="E70" t="inlineStr">
        <is>
          <t>JOYCE CRT</t>
        </is>
      </c>
    </row>
    <row r="71">
      <c r="A71" s="2" t="n">
        <v>46212</v>
      </c>
      <c r="B71" t="n">
        <v>1531124</v>
      </c>
      <c r="C71" t="inlineStr">
        <is>
          <t>THEFT OF VEHICLE</t>
        </is>
      </c>
      <c r="D71" t="n">
        <v>2135</v>
      </c>
      <c r="E71" t="inlineStr">
        <is>
          <t>LUNDYS LANE / WELLINGTON ST</t>
        </is>
      </c>
    </row>
    <row r="72">
      <c r="A72" s="2" t="n">
        <v>46212</v>
      </c>
      <c r="B72" t="n">
        <v>1531132</v>
      </c>
      <c r="C72" t="inlineStr">
        <is>
          <t>ASSAULT</t>
        </is>
      </c>
      <c r="D72" t="n">
        <v>1460</v>
      </c>
      <c r="E72" t="inlineStr">
        <is>
          <t>INGLIS ST</t>
        </is>
      </c>
    </row>
    <row r="73">
      <c r="A73" s="2" t="n">
        <v>46212</v>
      </c>
      <c r="B73" t="n">
        <v>1531157</v>
      </c>
      <c r="C73" t="inlineStr">
        <is>
          <t>THEFT OF VEHICLE</t>
        </is>
      </c>
      <c r="D73" t="n">
        <v>2135</v>
      </c>
      <c r="E73" t="inlineStr">
        <is>
          <t>OSTREA LAKE RD</t>
        </is>
      </c>
    </row>
    <row r="74">
      <c r="A74" s="2" t="n">
        <v>46212</v>
      </c>
      <c r="B74" t="n">
        <v>1531181</v>
      </c>
      <c r="C74" t="inlineStr">
        <is>
          <t>THEFT FROM VEHICLE</t>
        </is>
      </c>
      <c r="D74" t="n">
        <v>2142</v>
      </c>
      <c r="E74" t="inlineStr">
        <is>
          <t>HERRING COVE RD</t>
        </is>
      </c>
    </row>
    <row r="75">
      <c r="A75" s="2" t="n">
        <v>46212</v>
      </c>
      <c r="B75" t="n">
        <v>1531184</v>
      </c>
      <c r="C75" t="inlineStr">
        <is>
          <t>ASSAULT</t>
        </is>
      </c>
      <c r="D75" t="n">
        <v>1420</v>
      </c>
      <c r="E75" t="inlineStr">
        <is>
          <t>BRUNSWICK ST</t>
        </is>
      </c>
    </row>
    <row r="76">
      <c r="A76" s="2" t="n">
        <v>46212</v>
      </c>
      <c r="B76" t="n">
        <v>1531185</v>
      </c>
      <c r="C76" t="inlineStr">
        <is>
          <t>ASSAULT</t>
        </is>
      </c>
      <c r="D76" t="n">
        <v>1430</v>
      </c>
      <c r="E76" t="inlineStr">
        <is>
          <t>ROBIE ST</t>
        </is>
      </c>
    </row>
    <row r="77">
      <c r="A77" s="2" t="n">
        <v>46212</v>
      </c>
      <c r="B77" t="n">
        <v>1531189</v>
      </c>
      <c r="C77" t="inlineStr">
        <is>
          <t>ASSAULT</t>
        </is>
      </c>
      <c r="D77" t="n">
        <v>1430</v>
      </c>
      <c r="E77" t="inlineStr">
        <is>
          <t>CALDWELL RD</t>
        </is>
      </c>
    </row>
    <row r="78">
      <c r="A78" s="2" t="n">
        <v>46212</v>
      </c>
      <c r="B78" t="n">
        <v>1531276</v>
      </c>
      <c r="C78" t="inlineStr">
        <is>
          <t>THEFT FROM VEHICLE</t>
        </is>
      </c>
      <c r="D78" t="n">
        <v>2142</v>
      </c>
      <c r="E78" t="inlineStr">
        <is>
          <t>WINDMILL RD</t>
        </is>
      </c>
    </row>
    <row r="79">
      <c r="A79" s="2" t="n">
        <v>46213</v>
      </c>
      <c r="B79" t="n">
        <v>1531227</v>
      </c>
      <c r="C79" t="inlineStr">
        <is>
          <t>BREAK AND ENTER</t>
        </is>
      </c>
      <c r="D79" t="n">
        <v>2120</v>
      </c>
      <c r="E79" t="inlineStr">
        <is>
          <t>SACKVILLE DR</t>
        </is>
      </c>
    </row>
    <row r="80">
      <c r="A80" s="2" t="n">
        <v>46213</v>
      </c>
      <c r="B80" t="n">
        <v>1531249</v>
      </c>
      <c r="C80" t="inlineStr">
        <is>
          <t>THEFT FROM VEHICLE</t>
        </is>
      </c>
      <c r="D80" t="n">
        <v>2142</v>
      </c>
      <c r="E80" t="inlineStr">
        <is>
          <t>WILLOW ST</t>
        </is>
      </c>
    </row>
    <row r="81">
      <c r="A81" s="2" t="n">
        <v>46213</v>
      </c>
      <c r="B81" t="n">
        <v>1531272</v>
      </c>
      <c r="C81" t="inlineStr">
        <is>
          <t>THEFT FROM VEHICLE</t>
        </is>
      </c>
      <c r="D81" t="n">
        <v>2142</v>
      </c>
      <c r="E81" t="inlineStr">
        <is>
          <t>KEMPT RD</t>
        </is>
      </c>
    </row>
    <row r="82">
      <c r="A82" s="2" t="n">
        <v>46213</v>
      </c>
      <c r="B82" t="n">
        <v>1531297</v>
      </c>
      <c r="C82" t="inlineStr">
        <is>
          <t>ASSAULT</t>
        </is>
      </c>
      <c r="D82" t="n">
        <v>1430</v>
      </c>
      <c r="E82" t="inlineStr">
        <is>
          <t>WALKER AVE</t>
        </is>
      </c>
    </row>
    <row r="83">
      <c r="A83" s="2" t="n">
        <v>46213</v>
      </c>
      <c r="B83" t="n">
        <v>1531345</v>
      </c>
      <c r="C83" t="inlineStr">
        <is>
          <t>THEFT OF VEHICLE</t>
        </is>
      </c>
      <c r="D83" t="n">
        <v>2135</v>
      </c>
      <c r="E83" t="inlineStr">
        <is>
          <t>ROBIE ST</t>
        </is>
      </c>
    </row>
    <row r="84">
      <c r="A84" s="2" t="n">
        <v>46213</v>
      </c>
      <c r="B84" t="n">
        <v>1531357</v>
      </c>
      <c r="C84" t="inlineStr">
        <is>
          <t>ASSAULT</t>
        </is>
      </c>
      <c r="D84" t="n">
        <v>1430</v>
      </c>
      <c r="E84" t="inlineStr">
        <is>
          <t>SKEENA ST</t>
        </is>
      </c>
    </row>
    <row r="85">
      <c r="A85" s="2" t="n">
        <v>46213</v>
      </c>
      <c r="B85" t="n">
        <v>1531382</v>
      </c>
      <c r="C85" t="inlineStr">
        <is>
          <t>THEFT FROM VEHICLE</t>
        </is>
      </c>
      <c r="D85" t="n">
        <v>2132</v>
      </c>
      <c r="E85" t="inlineStr">
        <is>
          <t>GOVERNORS CRT</t>
        </is>
      </c>
    </row>
    <row r="86">
      <c r="A86" s="2" t="n">
        <v>46213</v>
      </c>
      <c r="B86" t="n">
        <v>1531407</v>
      </c>
      <c r="C86" t="inlineStr">
        <is>
          <t>THEFT FROM VEHICLE</t>
        </is>
      </c>
      <c r="D86" t="n">
        <v>2142</v>
      </c>
      <c r="E86" t="inlineStr">
        <is>
          <t>NADIA DR</t>
        </is>
      </c>
    </row>
    <row r="87">
      <c r="A87" s="2" t="n">
        <v>46213</v>
      </c>
      <c r="B87" t="n">
        <v>1531436</v>
      </c>
      <c r="C87" t="inlineStr">
        <is>
          <t>ASSAULT</t>
        </is>
      </c>
      <c r="D87" t="n">
        <v>1420</v>
      </c>
      <c r="E87" t="inlineStr">
        <is>
          <t>SOUTH PARK ST</t>
        </is>
      </c>
    </row>
    <row r="88">
      <c r="A88" s="2" t="n">
        <v>46213</v>
      </c>
      <c r="B88" t="n">
        <v>1531438</v>
      </c>
      <c r="C88" t="inlineStr">
        <is>
          <t>ASSAULT</t>
        </is>
      </c>
      <c r="D88" t="n">
        <v>1430</v>
      </c>
      <c r="E88" t="inlineStr">
        <is>
          <t>BRAEMAR DR</t>
        </is>
      </c>
    </row>
    <row r="89">
      <c r="A89" s="2" t="n">
        <v>46213</v>
      </c>
      <c r="B89" t="n">
        <v>1531454</v>
      </c>
      <c r="C89" t="inlineStr">
        <is>
          <t>THEFT FROM VEHICLE</t>
        </is>
      </c>
      <c r="D89" t="n">
        <v>2132</v>
      </c>
      <c r="E89" t="inlineStr">
        <is>
          <t>ALDERNEY DR</t>
        </is>
      </c>
    </row>
    <row r="90">
      <c r="A90" s="2" t="n">
        <v>46213</v>
      </c>
      <c r="B90" t="n">
        <v>1531472</v>
      </c>
      <c r="C90" t="inlineStr">
        <is>
          <t>THEFT FROM VEHICLE</t>
        </is>
      </c>
      <c r="D90" t="n">
        <v>2142</v>
      </c>
      <c r="E90" t="inlineStr">
        <is>
          <t>HARVARD ST</t>
        </is>
      </c>
    </row>
    <row r="91">
      <c r="A91" s="2" t="n">
        <v>46214</v>
      </c>
      <c r="B91" t="n">
        <v>1531461</v>
      </c>
      <c r="C91" t="inlineStr">
        <is>
          <t>ASSAULT</t>
        </is>
      </c>
      <c r="D91" t="n">
        <v>1430</v>
      </c>
      <c r="E91" t="inlineStr">
        <is>
          <t>CUNARD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9" customWidth="1" min="3" max="3"/>
  </cols>
  <sheetData>
    <row r="1">
      <c r="A1" s="3" t="inlineStr">
        <is>
          <t>Halifax crime snapshot</t>
        </is>
      </c>
    </row>
    <row r="2">
      <c r="A2" t="inlineStr">
        <is>
          <t>Snapshot pulled 2026-07-13; incidents dated 2026-07-05 to 2026-07-11.</t>
        </is>
      </c>
    </row>
    <row r="3">
      <c r="A3" t="inlineStr">
        <is>
          <t>Every count and share below is a live formula against the data sheet.</t>
        </is>
      </c>
    </row>
    <row r="5">
      <c r="A5" s="4" t="inlineStr">
        <is>
          <t>Total incidents</t>
        </is>
      </c>
      <c r="B5" s="5">
        <f>COUNTA(data!$C$2:$C$91)</f>
        <v/>
      </c>
    </row>
    <row r="7">
      <c r="A7" s="1" t="inlineStr">
        <is>
          <t>Category</t>
        </is>
      </c>
      <c r="B7" s="1" t="inlineStr">
        <is>
          <t>Incidents</t>
        </is>
      </c>
      <c r="C7" s="1" t="inlineStr">
        <is>
          <t>Share %</t>
        </is>
      </c>
    </row>
    <row r="8">
      <c r="A8" s="6" t="inlineStr">
        <is>
          <t>ASSAULT</t>
        </is>
      </c>
      <c r="B8" s="7">
        <f>COUNTIF(data!$C$2:$C$91,A8)</f>
        <v/>
      </c>
      <c r="C8" s="7">
        <f>ROUND(100*B8/$B$5,1)</f>
        <v/>
      </c>
    </row>
    <row r="9">
      <c r="A9" s="6" t="inlineStr">
        <is>
          <t>BREAK AND ENTER</t>
        </is>
      </c>
      <c r="B9" s="7">
        <f>COUNTIF(data!$C$2:$C$91,A9)</f>
        <v/>
      </c>
      <c r="C9" s="7">
        <f>ROUND(100*B9/$B$5,1)</f>
        <v/>
      </c>
    </row>
    <row r="10">
      <c r="A10" s="6" t="inlineStr">
        <is>
          <t>THEFT FROM VEHICLE</t>
        </is>
      </c>
      <c r="B10" s="7">
        <f>COUNTIF(data!$C$2:$C$91,A10)</f>
        <v/>
      </c>
      <c r="C10" s="7">
        <f>ROUND(100*B10/$B$5,1)</f>
        <v/>
      </c>
    </row>
    <row r="11">
      <c r="A11" s="6" t="inlineStr">
        <is>
          <t>THEFT OF VEHICLE</t>
        </is>
      </c>
      <c r="B11" s="7">
        <f>COUNTIF(data!$C$2:$C$91,A11)</f>
        <v/>
      </c>
      <c r="C11" s="7">
        <f>ROUND(100*B11/$B$5,1)</f>
        <v/>
      </c>
    </row>
    <row r="12">
      <c r="A12" s="4" t="inlineStr">
        <is>
          <t>Total</t>
        </is>
      </c>
      <c r="B12" s="8">
        <f>SUM(B8:B11)</f>
        <v/>
      </c>
      <c r="C12" s="8">
        <f>ROUND(100*B12/$B$5,1)</f>
        <v/>
      </c>
    </row>
    <row r="14">
      <c r="A14" s="4" t="inlineStr">
        <is>
          <t>Top category</t>
        </is>
      </c>
      <c r="B14" s="5">
        <f>INDEX($A$8:$A$11,MATCH(MAX($B$8:$B$11),$B$8:$B$11,0))</f>
        <v/>
      </c>
    </row>
    <row r="15">
      <c r="A15" s="4" t="inlineStr">
        <is>
          <t>Top category incidents</t>
        </is>
      </c>
      <c r="B15" s="5">
        <f>MAX($B$8:$B$11)</f>
        <v/>
      </c>
    </row>
    <row r="16">
      <c r="A16" s="4" t="inlineStr">
        <is>
          <t>Top category share %</t>
        </is>
      </c>
      <c r="B16" s="5">
        <f>ROUND(100*B15/$B$5,1)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</cols>
  <sheetData>
    <row r="1">
      <c r="A1" s="3" t="inlineStr">
        <is>
          <t>Incidents by area (location)</t>
        </is>
      </c>
    </row>
    <row r="3">
      <c r="A3" s="1" t="inlineStr">
        <is>
          <t>Location</t>
        </is>
      </c>
      <c r="B3" s="1" t="inlineStr">
        <is>
          <t>Incidents</t>
        </is>
      </c>
    </row>
    <row r="4">
      <c r="A4" t="inlineStr">
        <is>
          <t>ALBEMARLE ST</t>
        </is>
      </c>
      <c r="B4" s="5">
        <f>COUNTIF(data!$E$2:$E$91,A4)</f>
        <v/>
      </c>
    </row>
    <row r="5">
      <c r="A5" t="inlineStr">
        <is>
          <t>ALDERNEY DR</t>
        </is>
      </c>
      <c r="B5" s="5">
        <f>COUNTIF(data!$E$2:$E$91,A5)</f>
        <v/>
      </c>
    </row>
    <row r="6">
      <c r="A6" t="inlineStr">
        <is>
          <t>ARMENIA DR</t>
        </is>
      </c>
      <c r="B6" s="5">
        <f>COUNTIF(data!$E$2:$E$91,A6)</f>
        <v/>
      </c>
    </row>
    <row r="7">
      <c r="A7" t="inlineStr">
        <is>
          <t>ARMOURY PL</t>
        </is>
      </c>
      <c r="B7" s="5">
        <f>COUNTIF(data!$E$2:$E$91,A7)</f>
        <v/>
      </c>
    </row>
    <row r="8">
      <c r="A8" t="inlineStr">
        <is>
          <t>BARRINGTON ST</t>
        </is>
      </c>
      <c r="B8" s="5">
        <f>COUNTIF(data!$E$2:$E$91,A8)</f>
        <v/>
      </c>
    </row>
    <row r="9">
      <c r="A9" t="inlineStr">
        <is>
          <t>BEDFORD HWY</t>
        </is>
      </c>
      <c r="B9" s="5">
        <f>COUNTIF(data!$E$2:$E$91,A9)</f>
        <v/>
      </c>
    </row>
    <row r="10">
      <c r="A10" t="inlineStr">
        <is>
          <t>BELL RD</t>
        </is>
      </c>
      <c r="B10" s="5">
        <f>COUNTIF(data!$E$2:$E$91,A10)</f>
        <v/>
      </c>
    </row>
    <row r="11">
      <c r="A11" t="inlineStr">
        <is>
          <t>BERKSHIRE CL</t>
        </is>
      </c>
      <c r="B11" s="5">
        <f>COUNTIF(data!$E$2:$E$91,A11)</f>
        <v/>
      </c>
    </row>
    <row r="12">
      <c r="A12" t="inlineStr">
        <is>
          <t>BRAEMAR DR</t>
        </is>
      </c>
      <c r="B12" s="5">
        <f>COUNTIF(data!$E$2:$E$91,A12)</f>
        <v/>
      </c>
    </row>
    <row r="13">
      <c r="A13" t="inlineStr">
        <is>
          <t>BRULE ST</t>
        </is>
      </c>
      <c r="B13" s="5">
        <f>COUNTIF(data!$E$2:$E$91,A13)</f>
        <v/>
      </c>
    </row>
    <row r="14">
      <c r="A14" t="inlineStr">
        <is>
          <t>BRUNSWICK ST</t>
        </is>
      </c>
      <c r="B14" s="5">
        <f>COUNTIF(data!$E$2:$E$91,A14)</f>
        <v/>
      </c>
    </row>
    <row r="15">
      <c r="A15" t="inlineStr">
        <is>
          <t>CALDWELL RD</t>
        </is>
      </c>
      <c r="B15" s="5">
        <f>COUNTIF(data!$E$2:$E$91,A15)</f>
        <v/>
      </c>
    </row>
    <row r="16">
      <c r="A16" t="inlineStr">
        <is>
          <t>CAMBRIDGE ST</t>
        </is>
      </c>
      <c r="B16" s="5">
        <f>COUNTIF(data!$E$2:$E$91,A16)</f>
        <v/>
      </c>
    </row>
    <row r="17">
      <c r="A17" t="inlineStr">
        <is>
          <t>CEDAR ST</t>
        </is>
      </c>
      <c r="B17" s="5">
        <f>COUNTIF(data!$E$2:$E$91,A17)</f>
        <v/>
      </c>
    </row>
    <row r="18">
      <c r="A18" t="inlineStr">
        <is>
          <t>CLEARVIEW DR</t>
        </is>
      </c>
      <c r="B18" s="5">
        <f>COUNTIF(data!$E$2:$E$91,A18)</f>
        <v/>
      </c>
    </row>
    <row r="19">
      <c r="A19" t="inlineStr">
        <is>
          <t>CONNOLLY RD</t>
        </is>
      </c>
      <c r="B19" s="5">
        <f>COUNTIF(data!$E$2:$E$91,A19)</f>
        <v/>
      </c>
    </row>
    <row r="20">
      <c r="A20" t="inlineStr">
        <is>
          <t>CREIGHTON ST / NORA BERNARD ST</t>
        </is>
      </c>
      <c r="B20" s="5">
        <f>COUNTIF(data!$E$2:$E$91,A20)</f>
        <v/>
      </c>
    </row>
    <row r="21">
      <c r="A21" t="inlineStr">
        <is>
          <t>CUNARD ST</t>
        </is>
      </c>
      <c r="B21" s="5">
        <f>COUNTIF(data!$E$2:$E$91,A21)</f>
        <v/>
      </c>
    </row>
    <row r="22">
      <c r="A22" t="inlineStr">
        <is>
          <t>DRYSDALE RD</t>
        </is>
      </c>
      <c r="B22" s="5">
        <f>COUNTIF(data!$E$2:$E$91,A22)</f>
        <v/>
      </c>
    </row>
    <row r="23">
      <c r="A23" t="inlineStr">
        <is>
          <t>DUTCH VILLAGE RD</t>
        </is>
      </c>
      <c r="B23" s="5">
        <f>COUNTIF(data!$E$2:$E$91,A23)</f>
        <v/>
      </c>
    </row>
    <row r="24">
      <c r="A24" t="inlineStr">
        <is>
          <t>FENWICK ST</t>
        </is>
      </c>
      <c r="B24" s="5">
        <f>COUNTIF(data!$E$2:$E$91,A24)</f>
        <v/>
      </c>
    </row>
    <row r="25">
      <c r="A25" t="inlineStr">
        <is>
          <t>FLAMINGO DR</t>
        </is>
      </c>
      <c r="B25" s="5">
        <f>COUNTIF(data!$E$2:$E$91,A25)</f>
        <v/>
      </c>
    </row>
    <row r="26">
      <c r="A26" t="inlineStr">
        <is>
          <t>GLENN AVE</t>
        </is>
      </c>
      <c r="B26" s="5">
        <f>COUNTIF(data!$E$2:$E$91,A26)</f>
        <v/>
      </c>
    </row>
    <row r="27">
      <c r="A27" t="inlineStr">
        <is>
          <t>GLORIA MCCLUSKEY AVE</t>
        </is>
      </c>
      <c r="B27" s="5">
        <f>COUNTIF(data!$E$2:$E$91,A27)</f>
        <v/>
      </c>
    </row>
    <row r="28">
      <c r="A28" t="inlineStr">
        <is>
          <t>GORSEBROOK AVE</t>
        </is>
      </c>
      <c r="B28" s="5">
        <f>COUNTIF(data!$E$2:$E$91,A28)</f>
        <v/>
      </c>
    </row>
    <row r="29">
      <c r="A29" t="inlineStr">
        <is>
          <t>GOVERNORS CRT</t>
        </is>
      </c>
      <c r="B29" s="5">
        <f>COUNTIF(data!$E$2:$E$91,A29)</f>
        <v/>
      </c>
    </row>
    <row r="30">
      <c r="A30" t="inlineStr">
        <is>
          <t>GREEN ST</t>
        </is>
      </c>
      <c r="B30" s="5">
        <f>COUNTIF(data!$E$2:$E$91,A30)</f>
        <v/>
      </c>
    </row>
    <row r="31">
      <c r="A31" t="inlineStr">
        <is>
          <t>GREENWOOD AVE</t>
        </is>
      </c>
      <c r="B31" s="5">
        <f>COUNTIF(data!$E$2:$E$91,A31)</f>
        <v/>
      </c>
    </row>
    <row r="32">
      <c r="A32" t="inlineStr">
        <is>
          <t>HALEF CRT</t>
        </is>
      </c>
      <c r="B32" s="5">
        <f>COUNTIF(data!$E$2:$E$91,A32)</f>
        <v/>
      </c>
    </row>
    <row r="33">
      <c r="A33" t="inlineStr">
        <is>
          <t>HARVARD ST</t>
        </is>
      </c>
      <c r="B33" s="5">
        <f>COUNTIF(data!$E$2:$E$91,A33)</f>
        <v/>
      </c>
    </row>
    <row r="34">
      <c r="A34" t="inlineStr">
        <is>
          <t>HAYES ST</t>
        </is>
      </c>
      <c r="B34" s="5">
        <f>COUNTIF(data!$E$2:$E$91,A34)</f>
        <v/>
      </c>
    </row>
    <row r="35">
      <c r="A35" t="inlineStr">
        <is>
          <t>HERRING COVE RD</t>
        </is>
      </c>
      <c r="B35" s="5">
        <f>COUNTIF(data!$E$2:$E$91,A35)</f>
        <v/>
      </c>
    </row>
    <row r="36">
      <c r="A36" t="inlineStr">
        <is>
          <t>HIGHFIELD PARK DR</t>
        </is>
      </c>
      <c r="B36" s="5">
        <f>COUNTIF(data!$E$2:$E$91,A36)</f>
        <v/>
      </c>
    </row>
    <row r="37">
      <c r="A37" t="inlineStr">
        <is>
          <t>HIGHWAY 111 WB EXIT 5 ON RAMP / LAKESHORE PARK TERR</t>
        </is>
      </c>
      <c r="B37" s="5">
        <f>COUNTIF(data!$E$2:$E$91,A37)</f>
        <v/>
      </c>
    </row>
    <row r="38">
      <c r="A38" t="inlineStr">
        <is>
          <t>HIGHWAY 7</t>
        </is>
      </c>
      <c r="B38" s="5">
        <f>COUNTIF(data!$E$2:$E$91,A38)</f>
        <v/>
      </c>
    </row>
    <row r="39">
      <c r="A39" t="inlineStr">
        <is>
          <t>HILLTOP DR</t>
        </is>
      </c>
      <c r="B39" s="5">
        <f>COUNTIF(data!$E$2:$E$91,A39)</f>
        <v/>
      </c>
    </row>
    <row r="40">
      <c r="A40" t="inlineStr">
        <is>
          <t>INGLIS ST</t>
        </is>
      </c>
      <c r="B40" s="5">
        <f>COUNTIF(data!$E$2:$E$91,A40)</f>
        <v/>
      </c>
    </row>
    <row r="41">
      <c r="A41" t="inlineStr">
        <is>
          <t>INNOVATION DR</t>
        </is>
      </c>
      <c r="B41" s="5">
        <f>COUNTIF(data!$E$2:$E$91,A41)</f>
        <v/>
      </c>
    </row>
    <row r="42">
      <c r="A42" t="inlineStr">
        <is>
          <t>JOSEPH HOWE DR</t>
        </is>
      </c>
      <c r="B42" s="5">
        <f>COUNTIF(data!$E$2:$E$91,A42)</f>
        <v/>
      </c>
    </row>
    <row r="43">
      <c r="A43" t="inlineStr">
        <is>
          <t>JOYCE CRT</t>
        </is>
      </c>
      <c r="B43" s="5">
        <f>COUNTIF(data!$E$2:$E$91,A43)</f>
        <v/>
      </c>
    </row>
    <row r="44">
      <c r="A44" t="inlineStr">
        <is>
          <t>KEMPT RD</t>
        </is>
      </c>
      <c r="B44" s="5">
        <f>COUNTIF(data!$E$2:$E$91,A44)</f>
        <v/>
      </c>
    </row>
    <row r="45">
      <c r="A45" t="inlineStr">
        <is>
          <t>LARRY UTECK BLVD</t>
        </is>
      </c>
      <c r="B45" s="5">
        <f>COUNTIF(data!$E$2:$E$91,A45)</f>
        <v/>
      </c>
    </row>
    <row r="46">
      <c r="A46" t="inlineStr">
        <is>
          <t>LOWER WATER ST</t>
        </is>
      </c>
      <c r="B46" s="5">
        <f>COUNTIF(data!$E$2:$E$91,A46)</f>
        <v/>
      </c>
    </row>
    <row r="47">
      <c r="A47" t="inlineStr">
        <is>
          <t>LUNDYS LANE / WELLINGTON ST</t>
        </is>
      </c>
      <c r="B47" s="5">
        <f>COUNTIF(data!$E$2:$E$91,A47)</f>
        <v/>
      </c>
    </row>
    <row r="48">
      <c r="A48" t="inlineStr">
        <is>
          <t>MAIN AVE</t>
        </is>
      </c>
      <c r="B48" s="5">
        <f>COUNTIF(data!$E$2:$E$91,A48)</f>
        <v/>
      </c>
    </row>
    <row r="49">
      <c r="A49" t="inlineStr">
        <is>
          <t>MARKETWAY LANE</t>
        </is>
      </c>
      <c r="B49" s="5">
        <f>COUNTIF(data!$E$2:$E$91,A49)</f>
        <v/>
      </c>
    </row>
    <row r="50">
      <c r="A50" t="inlineStr">
        <is>
          <t>MEADOWLARK CRES</t>
        </is>
      </c>
      <c r="B50" s="5">
        <f>COUNTIF(data!$E$2:$E$91,A50)</f>
        <v/>
      </c>
    </row>
    <row r="51">
      <c r="A51" t="inlineStr">
        <is>
          <t>MEMORIAL DR</t>
        </is>
      </c>
      <c r="B51" s="5">
        <f>COUNTIF(data!$E$2:$E$91,A51)</f>
        <v/>
      </c>
    </row>
    <row r="52">
      <c r="A52" t="inlineStr">
        <is>
          <t>METROPOLITAN AVE</t>
        </is>
      </c>
      <c r="B52" s="5">
        <f>COUNTIF(data!$E$2:$E$91,A52)</f>
        <v/>
      </c>
    </row>
    <row r="53">
      <c r="A53" t="inlineStr">
        <is>
          <t>MUMFORD RD</t>
        </is>
      </c>
      <c r="B53" s="5">
        <f>COUNTIF(data!$E$2:$E$91,A53)</f>
        <v/>
      </c>
    </row>
    <row r="54">
      <c r="A54" t="inlineStr">
        <is>
          <t>NADIA DR</t>
        </is>
      </c>
      <c r="B54" s="5">
        <f>COUNTIF(data!$E$2:$E$91,A54)</f>
        <v/>
      </c>
    </row>
    <row r="55">
      <c r="A55" t="inlineStr">
        <is>
          <t>NANTUCKET AVE</t>
        </is>
      </c>
      <c r="B55" s="5">
        <f>COUNTIF(data!$E$2:$E$91,A55)</f>
        <v/>
      </c>
    </row>
    <row r="56">
      <c r="A56" t="inlineStr">
        <is>
          <t>NORMA EDDY LANE</t>
        </is>
      </c>
      <c r="B56" s="5">
        <f>COUNTIF(data!$E$2:$E$91,A56)</f>
        <v/>
      </c>
    </row>
    <row r="57">
      <c r="A57" t="inlineStr">
        <is>
          <t>NORTH ST</t>
        </is>
      </c>
      <c r="B57" s="5">
        <f>COUNTIF(data!$E$2:$E$91,A57)</f>
        <v/>
      </c>
    </row>
    <row r="58">
      <c r="A58" t="inlineStr">
        <is>
          <t>OSTREA LAKE RD</t>
        </is>
      </c>
      <c r="B58" s="5">
        <f>COUNTIF(data!$E$2:$E$91,A58)</f>
        <v/>
      </c>
    </row>
    <row r="59">
      <c r="A59" t="inlineStr">
        <is>
          <t>PINECREST DR</t>
        </is>
      </c>
      <c r="B59" s="5">
        <f>COUNTIF(data!$E$2:$E$91,A59)</f>
        <v/>
      </c>
    </row>
    <row r="60">
      <c r="A60" t="inlineStr">
        <is>
          <t>PORTLAND PL</t>
        </is>
      </c>
      <c r="B60" s="5">
        <f>COUNTIF(data!$E$2:$E$91,A60)</f>
        <v/>
      </c>
    </row>
    <row r="61">
      <c r="A61" t="inlineStr">
        <is>
          <t>PORTLAND ST</t>
        </is>
      </c>
      <c r="B61" s="5">
        <f>COUNTIF(data!$E$2:$E$91,A61)</f>
        <v/>
      </c>
    </row>
    <row r="62">
      <c r="A62" t="inlineStr">
        <is>
          <t>QUEEN ST</t>
        </is>
      </c>
      <c r="B62" s="5">
        <f>COUNTIF(data!$E$2:$E$91,A62)</f>
        <v/>
      </c>
    </row>
    <row r="63">
      <c r="A63" t="inlineStr">
        <is>
          <t>ROBIE ST</t>
        </is>
      </c>
      <c r="B63" s="5">
        <f>COUNTIF(data!$E$2:$E$91,A63)</f>
        <v/>
      </c>
    </row>
    <row r="64">
      <c r="A64" t="inlineStr">
        <is>
          <t>ROMANS AVE</t>
        </is>
      </c>
      <c r="B64" s="5">
        <f>COUNTIF(data!$E$2:$E$91,A64)</f>
        <v/>
      </c>
    </row>
    <row r="65">
      <c r="A65" t="inlineStr">
        <is>
          <t>SACKVILLE DR</t>
        </is>
      </c>
      <c r="B65" s="5">
        <f>COUNTIF(data!$E$2:$E$91,A65)</f>
        <v/>
      </c>
    </row>
    <row r="66">
      <c r="A66" t="inlineStr">
        <is>
          <t>SHAUGHNESSY PL</t>
        </is>
      </c>
      <c r="B66" s="5">
        <f>COUNTIF(data!$E$2:$E$91,A66)</f>
        <v/>
      </c>
    </row>
    <row r="67">
      <c r="A67" t="inlineStr">
        <is>
          <t>SKEENA ST</t>
        </is>
      </c>
      <c r="B67" s="5">
        <f>COUNTIF(data!$E$2:$E$91,A67)</f>
        <v/>
      </c>
    </row>
    <row r="68">
      <c r="A68" t="inlineStr">
        <is>
          <t>SLAYTER ST / SCHOOL ST</t>
        </is>
      </c>
      <c r="B68" s="5">
        <f>COUNTIF(data!$E$2:$E$91,A68)</f>
        <v/>
      </c>
    </row>
    <row r="69">
      <c r="A69" t="inlineStr">
        <is>
          <t>SMITHS POINT RD</t>
        </is>
      </c>
      <c r="B69" s="5">
        <f>COUNTIF(data!$E$2:$E$91,A69)</f>
        <v/>
      </c>
    </row>
    <row r="70">
      <c r="A70" t="inlineStr">
        <is>
          <t>SOUTH PARK ST</t>
        </is>
      </c>
      <c r="B70" s="5">
        <f>COUNTIF(data!$E$2:$E$91,A70)</f>
        <v/>
      </c>
    </row>
    <row r="71">
      <c r="A71" t="inlineStr">
        <is>
          <t>SPINNAKER DR</t>
        </is>
      </c>
      <c r="B71" s="5">
        <f>COUNTIF(data!$E$2:$E$91,A71)</f>
        <v/>
      </c>
    </row>
    <row r="72">
      <c r="A72" t="inlineStr">
        <is>
          <t>SPRING GARDEN RD</t>
        </is>
      </c>
      <c r="B72" s="5">
        <f>COUNTIF(data!$E$2:$E$91,A72)</f>
        <v/>
      </c>
    </row>
    <row r="73">
      <c r="A73" t="inlineStr">
        <is>
          <t>ST MARGARETS BAY RD</t>
        </is>
      </c>
      <c r="B73" s="5">
        <f>COUNTIF(data!$E$2:$E$91,A73)</f>
        <v/>
      </c>
    </row>
    <row r="74">
      <c r="A74" t="inlineStr">
        <is>
          <t>ST MATTHIAS ST / CHEBUCTO RD</t>
        </is>
      </c>
      <c r="B74" s="5">
        <f>COUNTIF(data!$E$2:$E$91,A74)</f>
        <v/>
      </c>
    </row>
    <row r="75">
      <c r="A75" t="inlineStr">
        <is>
          <t>STONEYBROOK CRT</t>
        </is>
      </c>
      <c r="B75" s="5">
        <f>COUNTIF(data!$E$2:$E$91,A75)</f>
        <v/>
      </c>
    </row>
    <row r="76">
      <c r="A76" t="inlineStr">
        <is>
          <t>SUMMER ST</t>
        </is>
      </c>
      <c r="B76" s="5">
        <f>COUNTIF(data!$E$2:$E$91,A76)</f>
        <v/>
      </c>
    </row>
    <row r="77">
      <c r="A77" t="inlineStr">
        <is>
          <t>VIMY AVE</t>
        </is>
      </c>
      <c r="B77" s="5">
        <f>COUNTIF(data!$E$2:$E$91,A77)</f>
        <v/>
      </c>
    </row>
    <row r="78">
      <c r="A78" t="inlineStr">
        <is>
          <t>WALKER AVE</t>
        </is>
      </c>
      <c r="B78" s="5">
        <f>COUNTIF(data!$E$2:$E$91,A78)</f>
        <v/>
      </c>
    </row>
    <row r="79">
      <c r="A79" t="inlineStr">
        <is>
          <t>WARRIOR AVE</t>
        </is>
      </c>
      <c r="B79" s="5">
        <f>COUNTIF(data!$E$2:$E$91,A79)</f>
        <v/>
      </c>
    </row>
    <row r="80">
      <c r="A80" t="inlineStr">
        <is>
          <t>WILLOW ST</t>
        </is>
      </c>
      <c r="B80" s="5">
        <f>COUNTIF(data!$E$2:$E$91,A80)</f>
        <v/>
      </c>
    </row>
    <row r="81">
      <c r="A81" t="inlineStr">
        <is>
          <t>WINDMILL RD</t>
        </is>
      </c>
      <c r="B81" s="5">
        <f>COUNTIF(data!$E$2:$E$91,A81)</f>
        <v/>
      </c>
    </row>
    <row r="82">
      <c r="A82" t="inlineStr">
        <is>
          <t>WINDSTONE CL</t>
        </is>
      </c>
      <c r="B82" s="5">
        <f>COUNTIF(data!$E$2:$E$91,A82)</f>
        <v/>
      </c>
    </row>
    <row r="83">
      <c r="A83" t="inlineStr">
        <is>
          <t>WOODLAWN RD</t>
        </is>
      </c>
      <c r="B83" s="5">
        <f>COUNTIF(data!$E$2:$E$91,A83)</f>
        <v/>
      </c>
    </row>
    <row r="84">
      <c r="A84" t="inlineStr">
        <is>
          <t>WOODSMERE CL</t>
        </is>
      </c>
      <c r="B84" s="5">
        <f>COUNTIF(data!$E$2:$E$91,A84)</f>
        <v/>
      </c>
    </row>
    <row r="85">
      <c r="A85" t="inlineStr">
        <is>
          <t>YALE ST</t>
        </is>
      </c>
      <c r="B85" s="5">
        <f>COUNTIF(data!$E$2:$E$91,A85)</f>
        <v/>
      </c>
    </row>
    <row r="86">
      <c r="A86" s="4" t="inlineStr">
        <is>
          <t>Total</t>
        </is>
      </c>
      <c r="B86" s="4">
        <f>SUM(B4:B85)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2026-07-13T00:00:00Z</dcterms:created>
  <dcterms:modified xmlns:dcterms="http://purl.org/dc/terms/" xmlns:xsi="http://www.w3.org/2001/XMLSchema-instance" xsi:type="dcterms:W3CDTF">2026-07-20T06:13:12Z</dcterms:modified>
</cp:coreProperties>
</file>