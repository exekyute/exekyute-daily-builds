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rates" sheetId="2" state="visible" r:id="rId2"/>
    <sheet xmlns:r="http://schemas.openxmlformats.org/officeDocument/2006/relationships" name="areas" sheetId="3" state="visible" r:id="rId3"/>
  </sheets>
  <definedNames>
    <definedName name="AreaCodes">areas!$A$2:$A$47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E8EEF4"/>
      </patternFill>
    </fill>
  </fills>
  <borders count="2">
    <border>
      <left/>
      <right/>
      <top/>
      <bottom/>
      <diagonal/>
    </border>
    <border>
      <left style="thin">
        <color rgb="00B7C4D0"/>
      </left>
      <right style="thin">
        <color rgb="00B7C4D0"/>
      </right>
      <top style="thin">
        <color rgb="00B7C4D0"/>
      </top>
      <bottom style="thin">
        <color rgb="00B7C4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3" fontId="0" fillId="0" borderId="0" applyAlignment="1" pivotButton="0" quotePrefix="0" xfId="0">
      <alignment horizontal="right"/>
    </xf>
    <xf numFmtId="0" fontId="1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4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20" customWidth="1" min="3" max="3"/>
    <col width="9" customWidth="1" min="4" max="4"/>
    <col width="12" customWidth="1" min="5" max="5"/>
    <col width="12" customWidth="1" min="6" max="6"/>
    <col width="9" customWidth="1" min="7" max="7"/>
    <col width="34" customWidth="1" min="8" max="8"/>
  </cols>
  <sheetData>
    <row r="1">
      <c r="A1" s="1" t="inlineStr">
        <is>
          <t>HRM area rate cost calculator</t>
        </is>
      </c>
    </row>
    <row r="2">
      <c r="A2" t="inlineStr">
        <is>
          <t>Bill year 2025. Every charge below is a live formula against the rates sheet.</t>
        </is>
      </c>
    </row>
    <row r="3">
      <c r="A3" t="inlineStr">
        <is>
          <t>Calculation_Type 'Rate' is dollars per $100 of taxable assessment; 'Flat Rate' is a fixed dollar charge per property.</t>
        </is>
      </c>
    </row>
    <row r="5">
      <c r="A5" s="2" t="inlineStr">
        <is>
          <t>Scenario A: Residential</t>
        </is>
      </c>
      <c r="B5" s="3" t="n"/>
      <c r="C5" s="3" t="n"/>
      <c r="D5" s="3" t="n"/>
      <c r="E5" s="3" t="n"/>
      <c r="F5" s="3" t="n"/>
      <c r="G5" s="3" t="n"/>
      <c r="H5" s="3" t="n"/>
    </row>
    <row r="6">
      <c r="A6" s="4" t="inlineStr">
        <is>
          <t>Assessment ($)</t>
        </is>
      </c>
      <c r="B6" s="5" t="n">
        <v>325000</v>
      </c>
    </row>
    <row r="7">
      <c r="A7" s="4" t="inlineStr">
        <is>
          <t>Property class</t>
        </is>
      </c>
      <c r="B7" t="inlineStr">
        <is>
          <t>Residential</t>
        </is>
      </c>
    </row>
    <row r="9">
      <c r="A9" s="6" t="inlineStr">
        <is>
          <t>Area code</t>
        </is>
      </c>
      <c r="B9" s="6" t="inlineStr">
        <is>
          <t>Description</t>
        </is>
      </c>
      <c r="C9" s="6" t="inlineStr">
        <is>
          <t>Lookup key</t>
        </is>
      </c>
      <c r="D9" s="6" t="inlineStr">
        <is>
          <t>Rate</t>
        </is>
      </c>
      <c r="E9" s="6" t="inlineStr">
        <is>
          <t>Calc type</t>
        </is>
      </c>
      <c r="F9" s="6" t="inlineStr">
        <is>
          <t>Charge ($)</t>
        </is>
      </c>
      <c r="G9" s="6" t="inlineStr">
        <is>
          <t>Share %</t>
        </is>
      </c>
      <c r="H9" s="6" t="inlineStr">
        <is>
          <t>Note</t>
        </is>
      </c>
    </row>
    <row r="10">
      <c r="A10" s="7" t="inlineStr">
        <is>
          <t>M050</t>
        </is>
      </c>
      <c r="B10" s="7">
        <f>IF($A10="","",IFERROR(INDEX(areas!$B$2:$B$47,MATCH($A10,areas!$A$2:$A$47,0)),"unknown code"))</f>
        <v/>
      </c>
      <c r="C10" s="7">
        <f>IF($A10="","",$A10&amp;"|"&amp;$B$7)</f>
        <v/>
      </c>
      <c r="D10" s="8">
        <f>IF($C10="","",IFERROR(INDEX(rates!$C$2:$C$166,MATCH($C10,rates!$F$2:$F$166,0)),""))</f>
        <v/>
      </c>
      <c r="E10" s="7">
        <f>IF($C10="","",IFERROR(INDEX(rates!$D$2:$D$166,MATCH($C10,rates!$F$2:$F$166,0)),""))</f>
        <v/>
      </c>
      <c r="F10" s="9">
        <f>IF($A10="","",IFERROR(ROUND(IF($E10="Flat Rate",$D10,$D10*$B$6/100),2),0))</f>
        <v/>
      </c>
      <c r="G10" s="10">
        <f>IF($A10="","",IF($F$16=0,0,ROUND(100*$F10/$F$16,1)))</f>
        <v/>
      </c>
      <c r="H10" s="7">
        <f>IF($A10="","",IF(ISNA(MATCH($C10,rates!$F$2:$F$166,0)),"no 2025 rate for this code and class",""))</f>
        <v/>
      </c>
    </row>
    <row r="11">
      <c r="A11" s="7" t="inlineStr">
        <is>
          <t>M060</t>
        </is>
      </c>
      <c r="B11" s="7">
        <f>IF($A11="","",IFERROR(INDEX(areas!$B$2:$B$47,MATCH($A11,areas!$A$2:$A$47,0)),"unknown code"))</f>
        <v/>
      </c>
      <c r="C11" s="7">
        <f>IF($A11="","",$A11&amp;"|"&amp;$B$7)</f>
        <v/>
      </c>
      <c r="D11" s="8">
        <f>IF($C11="","",IFERROR(INDEX(rates!$C$2:$C$166,MATCH($C11,rates!$F$2:$F$166,0)),""))</f>
        <v/>
      </c>
      <c r="E11" s="7">
        <f>IF($C11="","",IFERROR(INDEX(rates!$D$2:$D$166,MATCH($C11,rates!$F$2:$F$166,0)),""))</f>
        <v/>
      </c>
      <c r="F11" s="9">
        <f>IF($A11="","",IFERROR(ROUND(IF($E11="Flat Rate",$D11,$D11*$B$6/100),2),0))</f>
        <v/>
      </c>
      <c r="G11" s="10">
        <f>IF($A11="","",IF($F$16=0,0,ROUND(100*$F11/$F$16,1)))</f>
        <v/>
      </c>
      <c r="H11" s="7">
        <f>IF($A11="","",IF(ISNA(MATCH($C11,rates!$F$2:$F$166,0)),"no 2025 rate for this code and class",""))</f>
        <v/>
      </c>
    </row>
    <row r="12">
      <c r="A12" s="7" t="inlineStr">
        <is>
          <t>A000</t>
        </is>
      </c>
      <c r="B12" s="7">
        <f>IF($A12="","",IFERROR(INDEX(areas!$B$2:$B$47,MATCH($A12,areas!$A$2:$A$47,0)),"unknown code"))</f>
        <v/>
      </c>
      <c r="C12" s="7">
        <f>IF($A12="","",$A12&amp;"|"&amp;$B$7)</f>
        <v/>
      </c>
      <c r="D12" s="8">
        <f>IF($C12="","",IFERROR(INDEX(rates!$C$2:$C$166,MATCH($C12,rates!$F$2:$F$166,0)),""))</f>
        <v/>
      </c>
      <c r="E12" s="7">
        <f>IF($C12="","",IFERROR(INDEX(rates!$D$2:$D$166,MATCH($C12,rates!$F$2:$F$166,0)),""))</f>
        <v/>
      </c>
      <c r="F12" s="9">
        <f>IF($A12="","",IFERROR(ROUND(IF($E12="Flat Rate",$D12,$D12*$B$6/100),2),0))</f>
        <v/>
      </c>
      <c r="G12" s="10">
        <f>IF($A12="","",IF($F$16=0,0,ROUND(100*$F12/$F$16,1)))</f>
        <v/>
      </c>
      <c r="H12" s="7">
        <f>IF($A12="","",IF(ISNA(MATCH($C12,rates!$F$2:$F$166,0)),"no 2025 rate for this code and class",""))</f>
        <v/>
      </c>
    </row>
    <row r="13">
      <c r="A13" s="7" t="n"/>
      <c r="B13" s="7">
        <f>IF($A13="","",IFERROR(INDEX(areas!$B$2:$B$47,MATCH($A13,areas!$A$2:$A$47,0)),"unknown code"))</f>
        <v/>
      </c>
      <c r="C13" s="7">
        <f>IF($A13="","",$A13&amp;"|"&amp;$B$7)</f>
        <v/>
      </c>
      <c r="D13" s="8">
        <f>IF($C13="","",IFERROR(INDEX(rates!$C$2:$C$166,MATCH($C13,rates!$F$2:$F$166,0)),""))</f>
        <v/>
      </c>
      <c r="E13" s="7">
        <f>IF($C13="","",IFERROR(INDEX(rates!$D$2:$D$166,MATCH($C13,rates!$F$2:$F$166,0)),""))</f>
        <v/>
      </c>
      <c r="F13" s="9">
        <f>IF($A13="","",IFERROR(ROUND(IF($E13="Flat Rate",$D13,$D13*$B$6/100),2),0))</f>
        <v/>
      </c>
      <c r="G13" s="10">
        <f>IF($A13="","",IF($F$16=0,0,ROUND(100*$F13/$F$16,1)))</f>
        <v/>
      </c>
      <c r="H13" s="7">
        <f>IF($A13="","",IF(ISNA(MATCH($C13,rates!$F$2:$F$166,0)),"no 2025 rate for this code and class",""))</f>
        <v/>
      </c>
    </row>
    <row r="14">
      <c r="A14" s="7" t="n"/>
      <c r="B14" s="7">
        <f>IF($A14="","",IFERROR(INDEX(areas!$B$2:$B$47,MATCH($A14,areas!$A$2:$A$47,0)),"unknown code"))</f>
        <v/>
      </c>
      <c r="C14" s="7">
        <f>IF($A14="","",$A14&amp;"|"&amp;$B$7)</f>
        <v/>
      </c>
      <c r="D14" s="8">
        <f>IF($C14="","",IFERROR(INDEX(rates!$C$2:$C$166,MATCH($C14,rates!$F$2:$F$166,0)),""))</f>
        <v/>
      </c>
      <c r="E14" s="7">
        <f>IF($C14="","",IFERROR(INDEX(rates!$D$2:$D$166,MATCH($C14,rates!$F$2:$F$166,0)),""))</f>
        <v/>
      </c>
      <c r="F14" s="9">
        <f>IF($A14="","",IFERROR(ROUND(IF($E14="Flat Rate",$D14,$D14*$B$6/100),2),0))</f>
        <v/>
      </c>
      <c r="G14" s="10">
        <f>IF($A14="","",IF($F$16=0,0,ROUND(100*$F14/$F$16,1)))</f>
        <v/>
      </c>
      <c r="H14" s="7">
        <f>IF($A14="","",IF(ISNA(MATCH($C14,rates!$F$2:$F$166,0)),"no 2025 rate for this code and class",""))</f>
        <v/>
      </c>
    </row>
    <row r="15">
      <c r="A15" s="7" t="n"/>
      <c r="B15" s="7">
        <f>IF($A15="","",IFERROR(INDEX(areas!$B$2:$B$47,MATCH($A15,areas!$A$2:$A$47,0)),"unknown code"))</f>
        <v/>
      </c>
      <c r="C15" s="7">
        <f>IF($A15="","",$A15&amp;"|"&amp;$B$7)</f>
        <v/>
      </c>
      <c r="D15" s="8">
        <f>IF($C15="","",IFERROR(INDEX(rates!$C$2:$C$166,MATCH($C15,rates!$F$2:$F$166,0)),""))</f>
        <v/>
      </c>
      <c r="E15" s="7">
        <f>IF($C15="","",IFERROR(INDEX(rates!$D$2:$D$166,MATCH($C15,rates!$F$2:$F$166,0)),""))</f>
        <v/>
      </c>
      <c r="F15" s="9">
        <f>IF($A15="","",IFERROR(ROUND(IF($E15="Flat Rate",$D15,$D15*$B$6/100),2),0))</f>
        <v/>
      </c>
      <c r="G15" s="10">
        <f>IF($A15="","",IF($F$16=0,0,ROUND(100*$F15/$F$16,1)))</f>
        <v/>
      </c>
      <c r="H15" s="7">
        <f>IF($A15="","",IF(ISNA(MATCH($C15,rates!$F$2:$F$166,0)),"no 2025 rate for this code and class",""))</f>
        <v/>
      </c>
    </row>
    <row r="16">
      <c r="A16" s="4" t="inlineStr">
        <is>
          <t>Total</t>
        </is>
      </c>
      <c r="F16" s="11">
        <f>SUM(F10:F15)</f>
        <v/>
      </c>
      <c r="G16" s="12">
        <f>IF($F$16=0,0,ROUND(100*$F$16/$F$16,1))</f>
        <v/>
      </c>
    </row>
    <row r="18">
      <c r="A18" s="2" t="inlineStr">
        <is>
          <t>Scenario B: Commercial</t>
        </is>
      </c>
      <c r="B18" s="3" t="n"/>
      <c r="C18" s="3" t="n"/>
      <c r="D18" s="3" t="n"/>
      <c r="E18" s="3" t="n"/>
      <c r="F18" s="3" t="n"/>
      <c r="G18" s="3" t="n"/>
      <c r="H18" s="3" t="n"/>
    </row>
    <row r="19">
      <c r="A19" s="4" t="inlineStr">
        <is>
          <t>Assessment ($)</t>
        </is>
      </c>
      <c r="B19" s="5" t="n">
        <v>600000</v>
      </c>
    </row>
    <row r="20">
      <c r="A20" s="4" t="inlineStr">
        <is>
          <t>Property class</t>
        </is>
      </c>
      <c r="B20" t="inlineStr">
        <is>
          <t>Commercial</t>
        </is>
      </c>
    </row>
    <row r="22">
      <c r="A22" s="6" t="inlineStr">
        <is>
          <t>Area code</t>
        </is>
      </c>
      <c r="B22" s="6" t="inlineStr">
        <is>
          <t>Description</t>
        </is>
      </c>
      <c r="C22" s="6" t="inlineStr">
        <is>
          <t>Lookup key</t>
        </is>
      </c>
      <c r="D22" s="6" t="inlineStr">
        <is>
          <t>Rate</t>
        </is>
      </c>
      <c r="E22" s="6" t="inlineStr">
        <is>
          <t>Calc type</t>
        </is>
      </c>
      <c r="F22" s="6" t="inlineStr">
        <is>
          <t>Charge ($)</t>
        </is>
      </c>
      <c r="G22" s="6" t="inlineStr">
        <is>
          <t>Share %</t>
        </is>
      </c>
      <c r="H22" s="6" t="inlineStr">
        <is>
          <t>Note</t>
        </is>
      </c>
    </row>
    <row r="23">
      <c r="A23" s="7" t="inlineStr">
        <is>
          <t>M050</t>
        </is>
      </c>
      <c r="B23" s="7">
        <f>IF($A23="","",IFERROR(INDEX(areas!$B$2:$B$47,MATCH($A23,areas!$A$2:$A$47,0)),"unknown code"))</f>
        <v/>
      </c>
      <c r="C23" s="7">
        <f>IF($A23="","",$A23&amp;"|"&amp;$B$20)</f>
        <v/>
      </c>
      <c r="D23" s="8">
        <f>IF($C23="","",IFERROR(INDEX(rates!$C$2:$C$166,MATCH($C23,rates!$F$2:$F$166,0)),""))</f>
        <v/>
      </c>
      <c r="E23" s="7">
        <f>IF($C23="","",IFERROR(INDEX(rates!$D$2:$D$166,MATCH($C23,rates!$F$2:$F$166,0)),""))</f>
        <v/>
      </c>
      <c r="F23" s="9">
        <f>IF($A23="","",IFERROR(ROUND(IF($E23="Flat Rate",$D23,$D23*$B$19/100),2),0))</f>
        <v/>
      </c>
      <c r="G23" s="10">
        <f>IF($A23="","",IF($F$29=0,0,ROUND(100*$F23/$F$29,1)))</f>
        <v/>
      </c>
      <c r="H23" s="7">
        <f>IF($A23="","",IF(ISNA(MATCH($C23,rates!$F$2:$F$166,0)),"no 2025 rate for this code and class",""))</f>
        <v/>
      </c>
    </row>
    <row r="24">
      <c r="A24" s="7" t="inlineStr">
        <is>
          <t>R000</t>
        </is>
      </c>
      <c r="B24" s="7">
        <f>IF($A24="","",IFERROR(INDEX(areas!$B$2:$B$47,MATCH($A24,areas!$A$2:$A$47,0)),"unknown code"))</f>
        <v/>
      </c>
      <c r="C24" s="7">
        <f>IF($A24="","",$A24&amp;"|"&amp;$B$20)</f>
        <v/>
      </c>
      <c r="D24" s="8">
        <f>IF($C24="","",IFERROR(INDEX(rates!$C$2:$C$166,MATCH($C24,rates!$F$2:$F$166,0)),""))</f>
        <v/>
      </c>
      <c r="E24" s="7">
        <f>IF($C24="","",IFERROR(INDEX(rates!$D$2:$D$166,MATCH($C24,rates!$F$2:$F$166,0)),""))</f>
        <v/>
      </c>
      <c r="F24" s="9">
        <f>IF($A24="","",IFERROR(ROUND(IF($E24="Flat Rate",$D24,$D24*$B$19/100),2),0))</f>
        <v/>
      </c>
      <c r="G24" s="10">
        <f>IF($A24="","",IF($F$29=0,0,ROUND(100*$F24/$F$29,1)))</f>
        <v/>
      </c>
      <c r="H24" s="7">
        <f>IF($A24="","",IF(ISNA(MATCH($C24,rates!$F$2:$F$166,0)),"no 2025 rate for this code and class",""))</f>
        <v/>
      </c>
    </row>
    <row r="25">
      <c r="A25" s="7" t="inlineStr">
        <is>
          <t>A020</t>
        </is>
      </c>
      <c r="B25" s="7">
        <f>IF($A25="","",IFERROR(INDEX(areas!$B$2:$B$47,MATCH($A25,areas!$A$2:$A$47,0)),"unknown code"))</f>
        <v/>
      </c>
      <c r="C25" s="7">
        <f>IF($A25="","",$A25&amp;"|"&amp;$B$20)</f>
        <v/>
      </c>
      <c r="D25" s="8">
        <f>IF($C25="","",IFERROR(INDEX(rates!$C$2:$C$166,MATCH($C25,rates!$F$2:$F$166,0)),""))</f>
        <v/>
      </c>
      <c r="E25" s="7">
        <f>IF($C25="","",IFERROR(INDEX(rates!$D$2:$D$166,MATCH($C25,rates!$F$2:$F$166,0)),""))</f>
        <v/>
      </c>
      <c r="F25" s="9">
        <f>IF($A25="","",IFERROR(ROUND(IF($E25="Flat Rate",$D25,$D25*$B$19/100),2),0))</f>
        <v/>
      </c>
      <c r="G25" s="10">
        <f>IF($A25="","",IF($F$29=0,0,ROUND(100*$F25/$F$29,1)))</f>
        <v/>
      </c>
      <c r="H25" s="7">
        <f>IF($A25="","",IF(ISNA(MATCH($C25,rates!$F$2:$F$166,0)),"no 2025 rate for this code and class",""))</f>
        <v/>
      </c>
    </row>
    <row r="26">
      <c r="A26" s="7" t="n"/>
      <c r="B26" s="7">
        <f>IF($A26="","",IFERROR(INDEX(areas!$B$2:$B$47,MATCH($A26,areas!$A$2:$A$47,0)),"unknown code"))</f>
        <v/>
      </c>
      <c r="C26" s="7">
        <f>IF($A26="","",$A26&amp;"|"&amp;$B$20)</f>
        <v/>
      </c>
      <c r="D26" s="8">
        <f>IF($C26="","",IFERROR(INDEX(rates!$C$2:$C$166,MATCH($C26,rates!$F$2:$F$166,0)),""))</f>
        <v/>
      </c>
      <c r="E26" s="7">
        <f>IF($C26="","",IFERROR(INDEX(rates!$D$2:$D$166,MATCH($C26,rates!$F$2:$F$166,0)),""))</f>
        <v/>
      </c>
      <c r="F26" s="9">
        <f>IF($A26="","",IFERROR(ROUND(IF($E26="Flat Rate",$D26,$D26*$B$19/100),2),0))</f>
        <v/>
      </c>
      <c r="G26" s="10">
        <f>IF($A26="","",IF($F$29=0,0,ROUND(100*$F26/$F$29,1)))</f>
        <v/>
      </c>
      <c r="H26" s="7">
        <f>IF($A26="","",IF(ISNA(MATCH($C26,rates!$F$2:$F$166,0)),"no 2025 rate for this code and class",""))</f>
        <v/>
      </c>
    </row>
    <row r="27">
      <c r="A27" s="7" t="n"/>
      <c r="B27" s="7">
        <f>IF($A27="","",IFERROR(INDEX(areas!$B$2:$B$47,MATCH($A27,areas!$A$2:$A$47,0)),"unknown code"))</f>
        <v/>
      </c>
      <c r="C27" s="7">
        <f>IF($A27="","",$A27&amp;"|"&amp;$B$20)</f>
        <v/>
      </c>
      <c r="D27" s="8">
        <f>IF($C27="","",IFERROR(INDEX(rates!$C$2:$C$166,MATCH($C27,rates!$F$2:$F$166,0)),""))</f>
        <v/>
      </c>
      <c r="E27" s="7">
        <f>IF($C27="","",IFERROR(INDEX(rates!$D$2:$D$166,MATCH($C27,rates!$F$2:$F$166,0)),""))</f>
        <v/>
      </c>
      <c r="F27" s="9">
        <f>IF($A27="","",IFERROR(ROUND(IF($E27="Flat Rate",$D27,$D27*$B$19/100),2),0))</f>
        <v/>
      </c>
      <c r="G27" s="10">
        <f>IF($A27="","",IF($F$29=0,0,ROUND(100*$F27/$F$29,1)))</f>
        <v/>
      </c>
      <c r="H27" s="7">
        <f>IF($A27="","",IF(ISNA(MATCH($C27,rates!$F$2:$F$166,0)),"no 2025 rate for this code and class",""))</f>
        <v/>
      </c>
    </row>
    <row r="28">
      <c r="A28" s="7" t="n"/>
      <c r="B28" s="7">
        <f>IF($A28="","",IFERROR(INDEX(areas!$B$2:$B$47,MATCH($A28,areas!$A$2:$A$47,0)),"unknown code"))</f>
        <v/>
      </c>
      <c r="C28" s="7">
        <f>IF($A28="","",$A28&amp;"|"&amp;$B$20)</f>
        <v/>
      </c>
      <c r="D28" s="8">
        <f>IF($C28="","",IFERROR(INDEX(rates!$C$2:$C$166,MATCH($C28,rates!$F$2:$F$166,0)),""))</f>
        <v/>
      </c>
      <c r="E28" s="7">
        <f>IF($C28="","",IFERROR(INDEX(rates!$D$2:$D$166,MATCH($C28,rates!$F$2:$F$166,0)),""))</f>
        <v/>
      </c>
      <c r="F28" s="9">
        <f>IF($A28="","",IFERROR(ROUND(IF($E28="Flat Rate",$D28,$D28*$B$19/100),2),0))</f>
        <v/>
      </c>
      <c r="G28" s="10">
        <f>IF($A28="","",IF($F$29=0,0,ROUND(100*$F28/$F$29,1)))</f>
        <v/>
      </c>
      <c r="H28" s="7">
        <f>IF($A28="","",IF(ISNA(MATCH($C28,rates!$F$2:$F$166,0)),"no 2025 rate for this code and class",""))</f>
        <v/>
      </c>
    </row>
    <row r="29">
      <c r="A29" s="4" t="inlineStr">
        <is>
          <t>Total</t>
        </is>
      </c>
      <c r="F29" s="11">
        <f>SUM(F23:F28)</f>
        <v/>
      </c>
      <c r="G29" s="12">
        <f>IF($F$29=0,0,ROUND(100*$F$29/$F$29,1))</f>
        <v/>
      </c>
    </row>
  </sheetData>
  <dataValidations count="2">
    <dataValidation sqref="B7 B20" showDropDown="0" showInputMessage="0" showErrorMessage="0" allowBlank="0" type="list">
      <formula1>"Residential,Commercial,Resource"</formula1>
    </dataValidation>
    <dataValidation sqref="A10 A11 A12 A13 A14 A15 A23 A24 A25 A26 A27 A28" showDropDown="0" showInputMessage="0" showErrorMessage="0" allowBlank="1" type="list">
      <formula1>AreaCodes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  <col width="17" customWidth="1" min="4" max="4"/>
    <col width="34" customWidth="1" min="5" max="5"/>
    <col width="20" customWidth="1" min="6" max="6"/>
  </cols>
  <sheetData>
    <row r="1">
      <c r="A1" s="6" t="inlineStr">
        <is>
          <t>Rate_Code</t>
        </is>
      </c>
      <c r="B1" s="6" t="inlineStr">
        <is>
          <t>Rate_Type</t>
        </is>
      </c>
      <c r="C1" s="6" t="inlineStr">
        <is>
          <t>Rate</t>
        </is>
      </c>
      <c r="D1" s="6" t="inlineStr">
        <is>
          <t>Calculation_Type</t>
        </is>
      </c>
      <c r="E1" s="6" t="inlineStr">
        <is>
          <t>Rate_Description</t>
        </is>
      </c>
      <c r="F1" s="6" t="inlineStr">
        <is>
          <t>key</t>
        </is>
      </c>
    </row>
    <row r="2">
      <c r="A2" t="inlineStr">
        <is>
          <t>A000</t>
        </is>
      </c>
      <c r="B2" t="inlineStr">
        <is>
          <t>Residential</t>
        </is>
      </c>
      <c r="C2" s="13" t="n">
        <v>45</v>
      </c>
      <c r="D2" t="inlineStr">
        <is>
          <t>Flat Rate</t>
        </is>
      </c>
      <c r="E2" t="inlineStr">
        <is>
          <t>FRAME SUB HOMEOWNERS RES</t>
        </is>
      </c>
      <c r="F2">
        <f>A2&amp;"|"&amp;B2</f>
        <v/>
      </c>
    </row>
    <row r="3">
      <c r="A3" t="inlineStr">
        <is>
          <t>A000</t>
        </is>
      </c>
      <c r="B3" t="inlineStr">
        <is>
          <t>Resource</t>
        </is>
      </c>
      <c r="C3" s="13" t="n">
        <v>45</v>
      </c>
      <c r="D3" t="inlineStr">
        <is>
          <t>Flat Rate</t>
        </is>
      </c>
      <c r="E3" t="inlineStr">
        <is>
          <t>FRAME SUB HOMEOWNERS RES</t>
        </is>
      </c>
      <c r="F3">
        <f>A3&amp;"|"&amp;B3</f>
        <v/>
      </c>
    </row>
    <row r="4">
      <c r="A4" t="inlineStr">
        <is>
          <t>A010</t>
        </is>
      </c>
      <c r="B4" t="inlineStr">
        <is>
          <t>Residential</t>
        </is>
      </c>
      <c r="C4" s="13" t="n">
        <v>0.023</v>
      </c>
      <c r="D4" t="inlineStr">
        <is>
          <t>Rate</t>
        </is>
      </c>
      <c r="E4" t="inlineStr">
        <is>
          <t>HALIBURTON/HIGHBURY REC RES</t>
        </is>
      </c>
      <c r="F4">
        <f>A4&amp;"|"&amp;B4</f>
        <v/>
      </c>
    </row>
    <row r="5">
      <c r="A5" t="inlineStr">
        <is>
          <t>A010</t>
        </is>
      </c>
      <c r="B5" t="inlineStr">
        <is>
          <t>Resource</t>
        </is>
      </c>
      <c r="C5" s="13" t="n">
        <v>0.023</v>
      </c>
      <c r="D5" t="inlineStr">
        <is>
          <t>Rate</t>
        </is>
      </c>
      <c r="E5" t="inlineStr">
        <is>
          <t>HALIBURTON/HIGHBURY RE RESO</t>
        </is>
      </c>
      <c r="F5">
        <f>A5&amp;"|"&amp;B5</f>
        <v/>
      </c>
    </row>
    <row r="6">
      <c r="A6" t="inlineStr">
        <is>
          <t>A020</t>
        </is>
      </c>
      <c r="B6" t="inlineStr">
        <is>
          <t>Commercial</t>
        </is>
      </c>
      <c r="C6" s="13" t="n">
        <v>100</v>
      </c>
      <c r="D6" t="inlineStr">
        <is>
          <t>Flat Rate</t>
        </is>
      </c>
      <c r="E6" t="inlineStr">
        <is>
          <t>SILVERSIDES RESIDENTS RES</t>
        </is>
      </c>
      <c r="F6">
        <f>A6&amp;"|"&amp;B6</f>
        <v/>
      </c>
    </row>
    <row r="7">
      <c r="A7" t="inlineStr">
        <is>
          <t>A020</t>
        </is>
      </c>
      <c r="B7" t="inlineStr">
        <is>
          <t>Residential</t>
        </is>
      </c>
      <c r="C7" s="13" t="n">
        <v>100</v>
      </c>
      <c r="D7" t="inlineStr">
        <is>
          <t>Flat Rate</t>
        </is>
      </c>
      <c r="E7" t="inlineStr">
        <is>
          <t>SILVERSIDES RESIDENTS RES</t>
        </is>
      </c>
      <c r="F7">
        <f>A7&amp;"|"&amp;B7</f>
        <v/>
      </c>
    </row>
    <row r="8">
      <c r="A8" t="inlineStr">
        <is>
          <t>A020</t>
        </is>
      </c>
      <c r="B8" t="inlineStr">
        <is>
          <t>Resource</t>
        </is>
      </c>
      <c r="C8" s="13" t="n">
        <v>100</v>
      </c>
      <c r="D8" t="inlineStr">
        <is>
          <t>Flat Rate</t>
        </is>
      </c>
      <c r="E8" t="inlineStr">
        <is>
          <t>SILVERSIDES RESIDENTS RES</t>
        </is>
      </c>
      <c r="F8">
        <f>A8&amp;"|"&amp;B8</f>
        <v/>
      </c>
    </row>
    <row r="9">
      <c r="A9" t="inlineStr">
        <is>
          <t>A030</t>
        </is>
      </c>
      <c r="B9" t="inlineStr">
        <is>
          <t>Residential</t>
        </is>
      </c>
      <c r="C9" s="13" t="n">
        <v>0.005</v>
      </c>
      <c r="D9" t="inlineStr">
        <is>
          <t>Rate</t>
        </is>
      </c>
      <c r="E9" t="inlineStr">
        <is>
          <t>HIGHLAND PARK REC ASSOC RES</t>
        </is>
      </c>
      <c r="F9">
        <f>A9&amp;"|"&amp;B9</f>
        <v/>
      </c>
    </row>
    <row r="10">
      <c r="A10" t="inlineStr">
        <is>
          <t>A030</t>
        </is>
      </c>
      <c r="B10" t="inlineStr">
        <is>
          <t>Resource</t>
        </is>
      </c>
      <c r="C10" s="13" t="n">
        <v>0.005</v>
      </c>
      <c r="D10" t="inlineStr">
        <is>
          <t>Rate</t>
        </is>
      </c>
      <c r="E10" t="inlineStr">
        <is>
          <t>HIGHLAND PARK REC ASSO RESO</t>
        </is>
      </c>
      <c r="F10">
        <f>A10&amp;"|"&amp;B10</f>
        <v/>
      </c>
    </row>
    <row r="11">
      <c r="A11" t="inlineStr">
        <is>
          <t>A040</t>
        </is>
      </c>
      <c r="B11" t="inlineStr">
        <is>
          <t>Commercial</t>
        </is>
      </c>
      <c r="C11" s="13" t="n">
        <v>50</v>
      </c>
      <c r="D11" t="inlineStr">
        <is>
          <t>Flat Rate</t>
        </is>
      </c>
      <c r="E11" t="inlineStr">
        <is>
          <t>KINGSWOOD RATEPAYERS RES</t>
        </is>
      </c>
      <c r="F11">
        <f>A11&amp;"|"&amp;B11</f>
        <v/>
      </c>
    </row>
    <row r="12">
      <c r="A12" t="inlineStr">
        <is>
          <t>A040</t>
        </is>
      </c>
      <c r="B12" t="inlineStr">
        <is>
          <t>Residential</t>
        </is>
      </c>
      <c r="C12" s="13" t="n">
        <v>50</v>
      </c>
      <c r="D12" t="inlineStr">
        <is>
          <t>Flat Rate</t>
        </is>
      </c>
      <c r="E12" t="inlineStr">
        <is>
          <t>KINGSWOOD RATEPAYERS RES</t>
        </is>
      </c>
      <c r="F12">
        <f>A12&amp;"|"&amp;B12</f>
        <v/>
      </c>
    </row>
    <row r="13">
      <c r="A13" t="inlineStr">
        <is>
          <t>A040</t>
        </is>
      </c>
      <c r="B13" t="inlineStr">
        <is>
          <t>Resource</t>
        </is>
      </c>
      <c r="C13" s="13" t="n">
        <v>50</v>
      </c>
      <c r="D13" t="inlineStr">
        <is>
          <t>Flat Rate</t>
        </is>
      </c>
      <c r="E13" t="inlineStr">
        <is>
          <t>KINGSWOOD RATEPAYERS RES</t>
        </is>
      </c>
      <c r="F13">
        <f>A13&amp;"|"&amp;B13</f>
        <v/>
      </c>
    </row>
    <row r="14">
      <c r="A14" t="inlineStr">
        <is>
          <t>A050</t>
        </is>
      </c>
      <c r="B14" t="inlineStr">
        <is>
          <t>Residential</t>
        </is>
      </c>
      <c r="C14" s="13" t="n">
        <v>0.03</v>
      </c>
      <c r="D14" t="inlineStr">
        <is>
          <t>Rate</t>
        </is>
      </c>
      <c r="E14" t="inlineStr">
        <is>
          <t>LWF RECREATION - RESIDENTIAL</t>
        </is>
      </c>
      <c r="F14">
        <f>A14&amp;"|"&amp;B14</f>
        <v/>
      </c>
    </row>
    <row r="15">
      <c r="A15" t="inlineStr">
        <is>
          <t>A050</t>
        </is>
      </c>
      <c r="B15" t="inlineStr">
        <is>
          <t>Resource</t>
        </is>
      </c>
      <c r="C15" s="13" t="n">
        <v>0.03</v>
      </c>
      <c r="D15" t="inlineStr">
        <is>
          <t>Rate</t>
        </is>
      </c>
      <c r="E15" t="inlineStr">
        <is>
          <t>LWF RECREATION - RESOURCE</t>
        </is>
      </c>
      <c r="F15">
        <f>A15&amp;"|"&amp;B15</f>
        <v/>
      </c>
    </row>
    <row r="16">
      <c r="A16" t="inlineStr">
        <is>
          <t>A070</t>
        </is>
      </c>
      <c r="B16" t="inlineStr">
        <is>
          <t>Commercial</t>
        </is>
      </c>
      <c r="C16" s="13" t="n">
        <v>20</v>
      </c>
      <c r="D16" t="inlineStr">
        <is>
          <t>Flat Rate</t>
        </is>
      </c>
      <c r="E16" t="inlineStr">
        <is>
          <t>MINEVILLE COMMUNITY RES</t>
        </is>
      </c>
      <c r="F16">
        <f>A16&amp;"|"&amp;B16</f>
        <v/>
      </c>
    </row>
    <row r="17">
      <c r="A17" t="inlineStr">
        <is>
          <t>A070</t>
        </is>
      </c>
      <c r="B17" t="inlineStr">
        <is>
          <t>Residential</t>
        </is>
      </c>
      <c r="C17" s="13" t="n">
        <v>20</v>
      </c>
      <c r="D17" t="inlineStr">
        <is>
          <t>Flat Rate</t>
        </is>
      </c>
      <c r="E17" t="inlineStr">
        <is>
          <t>MINEVILLE COMMUNITY RES</t>
        </is>
      </c>
      <c r="F17">
        <f>A17&amp;"|"&amp;B17</f>
        <v/>
      </c>
    </row>
    <row r="18">
      <c r="A18" t="inlineStr">
        <is>
          <t>A070</t>
        </is>
      </c>
      <c r="B18" t="inlineStr">
        <is>
          <t>Resource</t>
        </is>
      </c>
      <c r="C18" s="13" t="n">
        <v>20</v>
      </c>
      <c r="D18" t="inlineStr">
        <is>
          <t>Flat Rate</t>
        </is>
      </c>
      <c r="E18" t="inlineStr">
        <is>
          <t>MINEVILLE COMMUNITY RES</t>
        </is>
      </c>
      <c r="F18">
        <f>A18&amp;"|"&amp;B18</f>
        <v/>
      </c>
    </row>
    <row r="19">
      <c r="A19" t="inlineStr">
        <is>
          <t>A080</t>
        </is>
      </c>
      <c r="B19" t="inlineStr">
        <is>
          <t>Residential</t>
        </is>
      </c>
      <c r="C19" s="13" t="n">
        <v>0.005</v>
      </c>
      <c r="D19" t="inlineStr">
        <is>
          <t>Rate</t>
        </is>
      </c>
      <c r="E19" t="inlineStr">
        <is>
          <t>MUSQUODOBOIT HBR COMMON RES</t>
        </is>
      </c>
      <c r="F19">
        <f>A19&amp;"|"&amp;B19</f>
        <v/>
      </c>
    </row>
    <row r="20">
      <c r="A20" t="inlineStr">
        <is>
          <t>A080</t>
        </is>
      </c>
      <c r="B20" t="inlineStr">
        <is>
          <t>Resource</t>
        </is>
      </c>
      <c r="C20" s="13" t="n">
        <v>0.005</v>
      </c>
      <c r="D20" t="inlineStr">
        <is>
          <t>Rate</t>
        </is>
      </c>
      <c r="E20" t="inlineStr">
        <is>
          <t>MUSQUODOBOIT HBR COM RESO</t>
        </is>
      </c>
      <c r="F20">
        <f>A20&amp;"|"&amp;B20</f>
        <v/>
      </c>
    </row>
    <row r="21">
      <c r="A21" t="inlineStr">
        <is>
          <t>A090</t>
        </is>
      </c>
      <c r="B21" t="inlineStr">
        <is>
          <t>Residential</t>
        </is>
      </c>
      <c r="C21" s="13" t="n">
        <v>0.012</v>
      </c>
      <c r="D21" t="inlineStr">
        <is>
          <t>Rate</t>
        </is>
      </c>
      <c r="E21" t="inlineStr">
        <is>
          <t>PROSPECT ROAD REC ASSOC - RES</t>
        </is>
      </c>
      <c r="F21">
        <f>A21&amp;"|"&amp;B21</f>
        <v/>
      </c>
    </row>
    <row r="22">
      <c r="A22" t="inlineStr">
        <is>
          <t>A090</t>
        </is>
      </c>
      <c r="B22" t="inlineStr">
        <is>
          <t>Resource</t>
        </is>
      </c>
      <c r="C22" s="13" t="n">
        <v>0.012</v>
      </c>
      <c r="D22" t="inlineStr">
        <is>
          <t>Rate</t>
        </is>
      </c>
      <c r="E22" t="inlineStr">
        <is>
          <t>PROSPECT ROAD REC ASSO - RESO</t>
        </is>
      </c>
      <c r="F22">
        <f>A22&amp;"|"&amp;B22</f>
        <v/>
      </c>
    </row>
    <row r="23">
      <c r="A23" t="inlineStr">
        <is>
          <t>A100</t>
        </is>
      </c>
      <c r="B23" t="inlineStr">
        <is>
          <t>Commercial</t>
        </is>
      </c>
      <c r="C23" s="13" t="n">
        <v>0.007</v>
      </c>
      <c r="D23" t="inlineStr">
        <is>
          <t>Rate</t>
        </is>
      </c>
      <c r="E23" t="inlineStr">
        <is>
          <t>SACK HEIGHTS COMM CENTRE COM</t>
        </is>
      </c>
      <c r="F23">
        <f>A23&amp;"|"&amp;B23</f>
        <v/>
      </c>
    </row>
    <row r="24">
      <c r="A24" t="inlineStr">
        <is>
          <t>A100</t>
        </is>
      </c>
      <c r="B24" t="inlineStr">
        <is>
          <t>Residential</t>
        </is>
      </c>
      <c r="C24" s="13" t="n">
        <v>0.007</v>
      </c>
      <c r="D24" t="inlineStr">
        <is>
          <t>Rate</t>
        </is>
      </c>
      <c r="E24" t="inlineStr">
        <is>
          <t>SACK HEIGHTS COMM CENTRE RES</t>
        </is>
      </c>
      <c r="F24">
        <f>A24&amp;"|"&amp;B24</f>
        <v/>
      </c>
    </row>
    <row r="25">
      <c r="A25" t="inlineStr">
        <is>
          <t>A100</t>
        </is>
      </c>
      <c r="B25" t="inlineStr">
        <is>
          <t>Resource</t>
        </is>
      </c>
      <c r="C25" s="13" t="n">
        <v>0.007</v>
      </c>
      <c r="D25" t="inlineStr">
        <is>
          <t>Rate</t>
        </is>
      </c>
      <c r="E25" t="inlineStr">
        <is>
          <t>SACK HEIGHTS COM CENTRE RESO</t>
        </is>
      </c>
      <c r="F25">
        <f>A25&amp;"|"&amp;B25</f>
        <v/>
      </c>
    </row>
    <row r="26">
      <c r="A26" t="inlineStr">
        <is>
          <t>A110</t>
        </is>
      </c>
      <c r="B26" t="inlineStr">
        <is>
          <t>Commercial</t>
        </is>
      </c>
      <c r="C26" s="13" t="n">
        <v>60</v>
      </c>
      <c r="D26" t="inlineStr">
        <is>
          <t>Flat Rate</t>
        </is>
      </c>
      <c r="E26" t="inlineStr">
        <is>
          <t>FOX HOLLOW ST MARGS BAY RES</t>
        </is>
      </c>
      <c r="F26">
        <f>A26&amp;"|"&amp;B26</f>
        <v/>
      </c>
    </row>
    <row r="27">
      <c r="A27" t="inlineStr">
        <is>
          <t>A110</t>
        </is>
      </c>
      <c r="B27" t="inlineStr">
        <is>
          <t>Residential</t>
        </is>
      </c>
      <c r="C27" s="13" t="n">
        <v>60</v>
      </c>
      <c r="D27" t="inlineStr">
        <is>
          <t>Flat Rate</t>
        </is>
      </c>
      <c r="E27" t="inlineStr">
        <is>
          <t>FOX HOLLOW ST MARGS BAY RES</t>
        </is>
      </c>
      <c r="F27">
        <f>A27&amp;"|"&amp;B27</f>
        <v/>
      </c>
    </row>
    <row r="28">
      <c r="A28" t="inlineStr">
        <is>
          <t>A110</t>
        </is>
      </c>
      <c r="B28" t="inlineStr">
        <is>
          <t>Resource</t>
        </is>
      </c>
      <c r="C28" s="13" t="n">
        <v>60</v>
      </c>
      <c r="D28" t="inlineStr">
        <is>
          <t>Flat Rate</t>
        </is>
      </c>
      <c r="E28" t="inlineStr">
        <is>
          <t>FOX HOLLOW ST MARGS BAY RES</t>
        </is>
      </c>
      <c r="F28">
        <f>A28&amp;"|"&amp;B28</f>
        <v/>
      </c>
    </row>
    <row r="29">
      <c r="A29" t="inlineStr">
        <is>
          <t>A120</t>
        </is>
      </c>
      <c r="B29" t="inlineStr">
        <is>
          <t>Commercial</t>
        </is>
      </c>
      <c r="C29" s="13" t="n">
        <v>65</v>
      </c>
      <c r="D29" t="inlineStr">
        <is>
          <t>Flat Rate</t>
        </is>
      </c>
      <c r="E29" t="inlineStr">
        <is>
          <t>GLEN ARBOUR RESIDENTS RES</t>
        </is>
      </c>
      <c r="F29">
        <f>A29&amp;"|"&amp;B29</f>
        <v/>
      </c>
    </row>
    <row r="30">
      <c r="A30" t="inlineStr">
        <is>
          <t>A120</t>
        </is>
      </c>
      <c r="B30" t="inlineStr">
        <is>
          <t>Residential</t>
        </is>
      </c>
      <c r="C30" s="13" t="n">
        <v>65</v>
      </c>
      <c r="D30" t="inlineStr">
        <is>
          <t>Flat Rate</t>
        </is>
      </c>
      <c r="E30" t="inlineStr">
        <is>
          <t>GLEN ARBOUR RESIDENTS RES</t>
        </is>
      </c>
      <c r="F30">
        <f>A30&amp;"|"&amp;B30</f>
        <v/>
      </c>
    </row>
    <row r="31">
      <c r="A31" t="inlineStr">
        <is>
          <t>A120</t>
        </is>
      </c>
      <c r="B31" t="inlineStr">
        <is>
          <t>Resource</t>
        </is>
      </c>
      <c r="C31" s="13" t="n">
        <v>65</v>
      </c>
      <c r="D31" t="inlineStr">
        <is>
          <t>Flat Rate</t>
        </is>
      </c>
      <c r="E31" t="inlineStr">
        <is>
          <t>GLEN ARBOUR RESIDENTS RES</t>
        </is>
      </c>
      <c r="F31">
        <f>A31&amp;"|"&amp;B31</f>
        <v/>
      </c>
    </row>
    <row r="32">
      <c r="A32" t="inlineStr">
        <is>
          <t>A130</t>
        </is>
      </c>
      <c r="B32" t="inlineStr">
        <is>
          <t>Residential</t>
        </is>
      </c>
      <c r="C32" s="13" t="n">
        <v>60</v>
      </c>
      <c r="D32" t="inlineStr">
        <is>
          <t>Flat Rate</t>
        </is>
      </c>
      <c r="E32" t="inlineStr">
        <is>
          <t>THREE BROOKS HOMEOWNERS RES</t>
        </is>
      </c>
      <c r="F32">
        <f>A32&amp;"|"&amp;B32</f>
        <v/>
      </c>
    </row>
    <row r="33">
      <c r="A33" t="inlineStr">
        <is>
          <t>A130</t>
        </is>
      </c>
      <c r="B33" t="inlineStr">
        <is>
          <t>Resource</t>
        </is>
      </c>
      <c r="C33" s="13" t="n">
        <v>60</v>
      </c>
      <c r="D33" t="inlineStr">
        <is>
          <t>Flat Rate</t>
        </is>
      </c>
      <c r="E33" t="inlineStr">
        <is>
          <t>THREE BROOKS HOMEOWNERS RES</t>
        </is>
      </c>
      <c r="F33">
        <f>A33&amp;"|"&amp;B33</f>
        <v/>
      </c>
    </row>
    <row r="34">
      <c r="A34" t="inlineStr">
        <is>
          <t>A140</t>
        </is>
      </c>
      <c r="B34" t="inlineStr">
        <is>
          <t>Residential</t>
        </is>
      </c>
      <c r="C34" s="13" t="n">
        <v>50</v>
      </c>
      <c r="D34" t="inlineStr">
        <is>
          <t>Flat Rate</t>
        </is>
      </c>
      <c r="E34" t="inlineStr">
        <is>
          <t>WESTWOOD HILLS RESIDENTS RES</t>
        </is>
      </c>
      <c r="F34">
        <f>A34&amp;"|"&amp;B34</f>
        <v/>
      </c>
    </row>
    <row r="35">
      <c r="A35" t="inlineStr">
        <is>
          <t>A140</t>
        </is>
      </c>
      <c r="B35" t="inlineStr">
        <is>
          <t>Resource</t>
        </is>
      </c>
      <c r="C35" s="13" t="n">
        <v>50</v>
      </c>
      <c r="D35" t="inlineStr">
        <is>
          <t>Flat Rate</t>
        </is>
      </c>
      <c r="E35" t="inlineStr">
        <is>
          <t>WESTWOOD HILLS RESIDENTS RES</t>
        </is>
      </c>
      <c r="F35">
        <f>A35&amp;"|"&amp;B35</f>
        <v/>
      </c>
    </row>
    <row r="36">
      <c r="A36" t="inlineStr">
        <is>
          <t>A160</t>
        </is>
      </c>
      <c r="B36" t="inlineStr">
        <is>
          <t>Residential</t>
        </is>
      </c>
      <c r="C36" s="13" t="n">
        <v>0.021</v>
      </c>
      <c r="D36" t="inlineStr">
        <is>
          <t>Rate</t>
        </is>
      </c>
      <c r="E36" t="inlineStr">
        <is>
          <t>GR.LAKE/OAKFIELD COMM'Y RES</t>
        </is>
      </c>
      <c r="F36">
        <f>A36&amp;"|"&amp;B36</f>
        <v/>
      </c>
    </row>
    <row r="37">
      <c r="A37" t="inlineStr">
        <is>
          <t>A160</t>
        </is>
      </c>
      <c r="B37" t="inlineStr">
        <is>
          <t>Resource</t>
        </is>
      </c>
      <c r="C37" s="13" t="n">
        <v>0.021</v>
      </c>
      <c r="D37" t="inlineStr">
        <is>
          <t>Rate</t>
        </is>
      </c>
      <c r="E37" t="inlineStr">
        <is>
          <t>GR.LAKE/OAKFIELD COMM RESO</t>
        </is>
      </c>
      <c r="F37">
        <f>A37&amp;"|"&amp;B37</f>
        <v/>
      </c>
    </row>
    <row r="38">
      <c r="A38" t="inlineStr">
        <is>
          <t>A170</t>
        </is>
      </c>
      <c r="B38" t="inlineStr">
        <is>
          <t>Residential</t>
        </is>
      </c>
      <c r="C38" s="13" t="n">
        <v>66.67</v>
      </c>
      <c r="D38" t="inlineStr">
        <is>
          <t>Flat Rate</t>
        </is>
      </c>
      <c r="E38" t="inlineStr">
        <is>
          <t>KETCH HARBOUR AREA RES</t>
        </is>
      </c>
      <c r="F38">
        <f>A38&amp;"|"&amp;B38</f>
        <v/>
      </c>
    </row>
    <row r="39">
      <c r="A39" t="inlineStr">
        <is>
          <t>A170</t>
        </is>
      </c>
      <c r="B39" t="inlineStr">
        <is>
          <t>Resource</t>
        </is>
      </c>
      <c r="C39" s="13" t="n">
        <v>66.67</v>
      </c>
      <c r="D39" t="inlineStr">
        <is>
          <t>Flat Rate</t>
        </is>
      </c>
      <c r="E39" t="inlineStr">
        <is>
          <t>KETCH HARBOUR AREA RES</t>
        </is>
      </c>
      <c r="F39">
        <f>A39&amp;"|"&amp;B39</f>
        <v/>
      </c>
    </row>
    <row r="40">
      <c r="A40" t="inlineStr">
        <is>
          <t>A180</t>
        </is>
      </c>
      <c r="B40" t="inlineStr">
        <is>
          <t>Commercial</t>
        </is>
      </c>
      <c r="C40" s="13" t="n">
        <v>25</v>
      </c>
      <c r="D40" t="inlineStr">
        <is>
          <t>Flat Rate</t>
        </is>
      </c>
      <c r="E40" t="inlineStr">
        <is>
          <t>SHEET HBR STREETSCAPE T1 RES</t>
        </is>
      </c>
      <c r="F40">
        <f>A40&amp;"|"&amp;B40</f>
        <v/>
      </c>
    </row>
    <row r="41">
      <c r="A41" t="inlineStr">
        <is>
          <t>A180</t>
        </is>
      </c>
      <c r="B41" t="inlineStr">
        <is>
          <t>Residential</t>
        </is>
      </c>
      <c r="C41" s="13" t="n">
        <v>25</v>
      </c>
      <c r="D41" t="inlineStr">
        <is>
          <t>Flat Rate</t>
        </is>
      </c>
      <c r="E41" t="inlineStr">
        <is>
          <t>SHEET HBR STREETSCAPE T1 RES</t>
        </is>
      </c>
      <c r="F41">
        <f>A41&amp;"|"&amp;B41</f>
        <v/>
      </c>
    </row>
    <row r="42">
      <c r="A42" t="inlineStr">
        <is>
          <t>A190</t>
        </is>
      </c>
      <c r="B42" t="inlineStr">
        <is>
          <t>Commercial</t>
        </is>
      </c>
      <c r="C42" s="13" t="n">
        <v>15</v>
      </c>
      <c r="D42" t="inlineStr">
        <is>
          <t>Flat Rate</t>
        </is>
      </c>
      <c r="E42" t="inlineStr">
        <is>
          <t>SHEET HBR STREETSCAPE T2 RES</t>
        </is>
      </c>
      <c r="F42">
        <f>A42&amp;"|"&amp;B42</f>
        <v/>
      </c>
    </row>
    <row r="43">
      <c r="A43" t="inlineStr">
        <is>
          <t>A190</t>
        </is>
      </c>
      <c r="B43" t="inlineStr">
        <is>
          <t>Residential</t>
        </is>
      </c>
      <c r="C43" s="13" t="n">
        <v>15</v>
      </c>
      <c r="D43" t="inlineStr">
        <is>
          <t>Flat Rate</t>
        </is>
      </c>
      <c r="E43" t="inlineStr">
        <is>
          <t>SHEET HBR STREETSCAPE T2 RES</t>
        </is>
      </c>
      <c r="F43">
        <f>A43&amp;"|"&amp;B43</f>
        <v/>
      </c>
    </row>
    <row r="44">
      <c r="A44" t="inlineStr">
        <is>
          <t>A200</t>
        </is>
      </c>
      <c r="B44" t="inlineStr">
        <is>
          <t>Commercial</t>
        </is>
      </c>
      <c r="C44" s="13" t="n">
        <v>5</v>
      </c>
      <c r="D44" t="inlineStr">
        <is>
          <t>Flat Rate</t>
        </is>
      </c>
      <c r="E44" t="inlineStr">
        <is>
          <t>SHEET HBR STREETSCAPE T3 RES</t>
        </is>
      </c>
      <c r="F44">
        <f>A44&amp;"|"&amp;B44</f>
        <v/>
      </c>
    </row>
    <row r="45">
      <c r="A45" t="inlineStr">
        <is>
          <t>A200</t>
        </is>
      </c>
      <c r="B45" t="inlineStr">
        <is>
          <t>Residential</t>
        </is>
      </c>
      <c r="C45" s="13" t="n">
        <v>5</v>
      </c>
      <c r="D45" t="inlineStr">
        <is>
          <t>Flat Rate</t>
        </is>
      </c>
      <c r="E45" t="inlineStr">
        <is>
          <t>SHEET HBR STREETSCAPE T3 RES</t>
        </is>
      </c>
      <c r="F45">
        <f>A45&amp;"|"&amp;B45</f>
        <v/>
      </c>
    </row>
    <row r="46">
      <c r="A46" t="inlineStr">
        <is>
          <t>A210</t>
        </is>
      </c>
      <c r="B46" t="inlineStr">
        <is>
          <t>Commercial</t>
        </is>
      </c>
      <c r="C46" s="13" t="n">
        <v>35</v>
      </c>
      <c r="D46" t="inlineStr">
        <is>
          <t>Flat Rate</t>
        </is>
      </c>
      <c r="E46" t="inlineStr">
        <is>
          <t>WAVERLEY COMMUNITY ASSOCIATION</t>
        </is>
      </c>
      <c r="F46">
        <f>A46&amp;"|"&amp;B46</f>
        <v/>
      </c>
    </row>
    <row r="47">
      <c r="A47" t="inlineStr">
        <is>
          <t>A210</t>
        </is>
      </c>
      <c r="B47" t="inlineStr">
        <is>
          <t>Residential</t>
        </is>
      </c>
      <c r="C47" s="13" t="n">
        <v>35</v>
      </c>
      <c r="D47" t="inlineStr">
        <is>
          <t>Flat Rate</t>
        </is>
      </c>
      <c r="E47" t="inlineStr">
        <is>
          <t>WAVERLEY COMMUNITY ASSOCIATION</t>
        </is>
      </c>
      <c r="F47">
        <f>A47&amp;"|"&amp;B47</f>
        <v/>
      </c>
    </row>
    <row r="48">
      <c r="A48" t="inlineStr">
        <is>
          <t>A210</t>
        </is>
      </c>
      <c r="B48" t="inlineStr">
        <is>
          <t>Resource</t>
        </is>
      </c>
      <c r="C48" s="13" t="n">
        <v>35</v>
      </c>
      <c r="D48" t="inlineStr">
        <is>
          <t>Flat Rate</t>
        </is>
      </c>
      <c r="E48" t="inlineStr">
        <is>
          <t>WAVERLEY COMMUNITY ASSOCIATION</t>
        </is>
      </c>
      <c r="F48">
        <f>A48&amp;"|"&amp;B48</f>
        <v/>
      </c>
    </row>
    <row r="49">
      <c r="A49" t="inlineStr">
        <is>
          <t>A220</t>
        </is>
      </c>
      <c r="B49" t="inlineStr">
        <is>
          <t>Commercial</t>
        </is>
      </c>
      <c r="C49" s="13" t="n">
        <v>0.021</v>
      </c>
      <c r="D49" t="inlineStr">
        <is>
          <t>Rate</t>
        </is>
      </c>
      <c r="E49" t="inlineStr">
        <is>
          <t>ACTIVE TRANSPORTATION RATE</t>
        </is>
      </c>
      <c r="F49">
        <f>A49&amp;"|"&amp;B49</f>
        <v/>
      </c>
    </row>
    <row r="50">
      <c r="A50" t="inlineStr">
        <is>
          <t>A220</t>
        </is>
      </c>
      <c r="B50" t="inlineStr">
        <is>
          <t>Residential</t>
        </is>
      </c>
      <c r="C50" s="13" t="n">
        <v>0.021</v>
      </c>
      <c r="D50" t="inlineStr">
        <is>
          <t>Rate</t>
        </is>
      </c>
      <c r="E50" t="inlineStr">
        <is>
          <t>ACTIVE TRANSPORTATION RATE</t>
        </is>
      </c>
      <c r="F50">
        <f>A50&amp;"|"&amp;B50</f>
        <v/>
      </c>
    </row>
    <row r="51">
      <c r="A51" t="inlineStr">
        <is>
          <t>A220</t>
        </is>
      </c>
      <c r="B51" t="inlineStr">
        <is>
          <t>Resource</t>
        </is>
      </c>
      <c r="C51" s="13" t="n">
        <v>0.021</v>
      </c>
      <c r="D51" t="inlineStr">
        <is>
          <t>Rate</t>
        </is>
      </c>
      <c r="E51" t="inlineStr">
        <is>
          <t>ACTIVE TRANSPORTATION RATE</t>
        </is>
      </c>
      <c r="F51">
        <f>A51&amp;"|"&amp;B51</f>
        <v/>
      </c>
    </row>
    <row r="52">
      <c r="A52" t="inlineStr">
        <is>
          <t>B000</t>
        </is>
      </c>
      <c r="B52" t="inlineStr">
        <is>
          <t>Commercial</t>
        </is>
      </c>
      <c r="C52" s="13" t="n">
        <v>0.13</v>
      </c>
      <c r="D52" t="inlineStr">
        <is>
          <t>Rate</t>
        </is>
      </c>
      <c r="E52" t="inlineStr">
        <is>
          <t>HALIFAX DOWNTOWN BID</t>
        </is>
      </c>
      <c r="F52">
        <f>A52&amp;"|"&amp;B52</f>
        <v/>
      </c>
    </row>
    <row r="53">
      <c r="A53" t="inlineStr">
        <is>
          <t>B010</t>
        </is>
      </c>
      <c r="B53" t="inlineStr">
        <is>
          <t>Commercial</t>
        </is>
      </c>
      <c r="C53" s="13" t="n">
        <v>0.36</v>
      </c>
      <c r="D53" t="inlineStr">
        <is>
          <t>Rate</t>
        </is>
      </c>
      <c r="E53" t="inlineStr">
        <is>
          <t>DARTMOUTH DOWNTOWN BID</t>
        </is>
      </c>
      <c r="F53">
        <f>A53&amp;"|"&amp;B53</f>
        <v/>
      </c>
    </row>
    <row r="54">
      <c r="A54" t="inlineStr">
        <is>
          <t>B020</t>
        </is>
      </c>
      <c r="B54" t="inlineStr">
        <is>
          <t>Commercial</t>
        </is>
      </c>
      <c r="C54" s="13" t="n">
        <v>0.34</v>
      </c>
      <c r="D54" t="inlineStr">
        <is>
          <t>Rate</t>
        </is>
      </c>
      <c r="E54" t="inlineStr">
        <is>
          <t>SPRING GARDEN ROAD BID</t>
        </is>
      </c>
      <c r="F54">
        <f>A54&amp;"|"&amp;B54</f>
        <v/>
      </c>
    </row>
    <row r="55">
      <c r="A55" t="inlineStr">
        <is>
          <t>B030</t>
        </is>
      </c>
      <c r="B55" t="inlineStr">
        <is>
          <t>Commercial</t>
        </is>
      </c>
      <c r="C55" s="13" t="n">
        <v>0.22</v>
      </c>
      <c r="D55" t="inlineStr">
        <is>
          <t>Rate</t>
        </is>
      </c>
      <c r="E55" t="inlineStr">
        <is>
          <t>QUINPOOL ROAD BID</t>
        </is>
      </c>
      <c r="F55">
        <f>A55&amp;"|"&amp;B55</f>
        <v/>
      </c>
    </row>
    <row r="56">
      <c r="A56" t="inlineStr">
        <is>
          <t>B040</t>
        </is>
      </c>
      <c r="B56" t="inlineStr">
        <is>
          <t>Commercial</t>
        </is>
      </c>
      <c r="C56" s="13" t="n">
        <v>0.32</v>
      </c>
      <c r="D56" t="inlineStr">
        <is>
          <t>Rate</t>
        </is>
      </c>
      <c r="E56" t="inlineStr">
        <is>
          <t>SPRYFIELD BID</t>
        </is>
      </c>
      <c r="F56">
        <f>A56&amp;"|"&amp;B56</f>
        <v/>
      </c>
    </row>
    <row r="57">
      <c r="A57" t="inlineStr">
        <is>
          <t>B050</t>
        </is>
      </c>
      <c r="B57" t="inlineStr">
        <is>
          <t>Commercial</t>
        </is>
      </c>
      <c r="C57" s="13" t="n">
        <v>0.2</v>
      </c>
      <c r="D57" t="inlineStr">
        <is>
          <t>Rate</t>
        </is>
      </c>
      <c r="E57" t="inlineStr">
        <is>
          <t>DARTMOUTH MAIN STREET BID</t>
        </is>
      </c>
      <c r="F57">
        <f>A57&amp;"|"&amp;B57</f>
        <v/>
      </c>
    </row>
    <row r="58">
      <c r="A58" t="inlineStr">
        <is>
          <t>B060</t>
        </is>
      </c>
      <c r="B58" t="inlineStr">
        <is>
          <t>Commercial</t>
        </is>
      </c>
      <c r="C58" s="13" t="n">
        <v>0.17</v>
      </c>
      <c r="D58" t="inlineStr">
        <is>
          <t>Rate</t>
        </is>
      </c>
      <c r="E58" t="inlineStr">
        <is>
          <t>SACKVILLE BID</t>
        </is>
      </c>
      <c r="F58">
        <f>A58&amp;"|"&amp;B58</f>
        <v/>
      </c>
    </row>
    <row r="59">
      <c r="A59" t="inlineStr">
        <is>
          <t>B070</t>
        </is>
      </c>
      <c r="B59" t="inlineStr">
        <is>
          <t>Commercial</t>
        </is>
      </c>
      <c r="C59" s="13" t="n">
        <v>0.18</v>
      </c>
      <c r="D59" t="inlineStr">
        <is>
          <t>Rate</t>
        </is>
      </c>
      <c r="E59" t="inlineStr">
        <is>
          <t>NORTH END COMMERCIAL BID</t>
        </is>
      </c>
      <c r="F59">
        <f>A59&amp;"|"&amp;B59</f>
        <v/>
      </c>
    </row>
    <row r="60">
      <c r="A60" t="inlineStr">
        <is>
          <t>B080</t>
        </is>
      </c>
      <c r="B60" t="inlineStr">
        <is>
          <t>Commercial</t>
        </is>
      </c>
      <c r="C60" s="13" t="n">
        <v>0.1</v>
      </c>
      <c r="D60" t="inlineStr">
        <is>
          <t>Rate</t>
        </is>
      </c>
      <c r="E60" t="inlineStr">
        <is>
          <t>PORTERS LAKE COMMERCIAL BID</t>
        </is>
      </c>
      <c r="F60">
        <f>A60&amp;"|"&amp;B60</f>
        <v/>
      </c>
    </row>
    <row r="61">
      <c r="A61" t="inlineStr">
        <is>
          <t>M010</t>
        </is>
      </c>
      <c r="B61" t="inlineStr">
        <is>
          <t>Residential</t>
        </is>
      </c>
      <c r="C61" s="13" t="n">
        <v>0.661</v>
      </c>
      <c r="D61" t="inlineStr">
        <is>
          <t>Rate</t>
        </is>
      </c>
      <c r="E61" t="inlineStr">
        <is>
          <t>URBAN GENERAL RATE-RESIDENTIAL</t>
        </is>
      </c>
      <c r="F61">
        <f>A61&amp;"|"&amp;B61</f>
        <v/>
      </c>
    </row>
    <row r="62">
      <c r="A62" t="inlineStr">
        <is>
          <t>M010</t>
        </is>
      </c>
      <c r="B62" t="inlineStr">
        <is>
          <t>Resource</t>
        </is>
      </c>
      <c r="C62" s="13" t="n">
        <v>0.661</v>
      </c>
      <c r="D62" t="inlineStr">
        <is>
          <t>Rate</t>
        </is>
      </c>
      <c r="E62" t="inlineStr">
        <is>
          <t>URBAN GENERAL RATE-RESOURCE</t>
        </is>
      </c>
      <c r="F62">
        <f>A62&amp;"|"&amp;B62</f>
        <v/>
      </c>
    </row>
    <row r="63">
      <c r="A63" t="inlineStr">
        <is>
          <t>M020</t>
        </is>
      </c>
      <c r="B63" t="inlineStr">
        <is>
          <t>Residential</t>
        </is>
      </c>
      <c r="C63" s="13" t="n">
        <v>0.628</v>
      </c>
      <c r="D63" t="inlineStr">
        <is>
          <t>Rate</t>
        </is>
      </c>
      <c r="E63" t="inlineStr">
        <is>
          <t>SUBURBAN GENERAL RATE-RESIDENT</t>
        </is>
      </c>
      <c r="F63">
        <f>A63&amp;"|"&amp;B63</f>
        <v/>
      </c>
    </row>
    <row r="64">
      <c r="A64" t="inlineStr">
        <is>
          <t>M020</t>
        </is>
      </c>
      <c r="B64" t="inlineStr">
        <is>
          <t>Resource</t>
        </is>
      </c>
      <c r="C64" s="13" t="n">
        <v>0.628</v>
      </c>
      <c r="D64" t="inlineStr">
        <is>
          <t>Rate</t>
        </is>
      </c>
      <c r="E64" t="inlineStr">
        <is>
          <t>SUBURBAN GENERAL RATE-RESOURCE</t>
        </is>
      </c>
      <c r="F64">
        <f>A64&amp;"|"&amp;B64</f>
        <v/>
      </c>
    </row>
    <row r="65">
      <c r="A65" t="inlineStr">
        <is>
          <t>M030</t>
        </is>
      </c>
      <c r="B65" t="inlineStr">
        <is>
          <t>Residential</t>
        </is>
      </c>
      <c r="C65" s="13" t="n">
        <v>0.628</v>
      </c>
      <c r="D65" t="inlineStr">
        <is>
          <t>Rate</t>
        </is>
      </c>
      <c r="E65" t="inlineStr">
        <is>
          <t>RURAL GENERAL RATE-RESIDENTIAL</t>
        </is>
      </c>
      <c r="F65">
        <f>A65&amp;"|"&amp;B65</f>
        <v/>
      </c>
    </row>
    <row r="66">
      <c r="A66" t="inlineStr">
        <is>
          <t>M030</t>
        </is>
      </c>
      <c r="B66" t="inlineStr">
        <is>
          <t>Resource</t>
        </is>
      </c>
      <c r="C66" s="13" t="n">
        <v>0.628</v>
      </c>
      <c r="D66" t="inlineStr">
        <is>
          <t>Rate</t>
        </is>
      </c>
      <c r="E66" t="inlineStr">
        <is>
          <t>RURAL GENERAL RATE-RESOURCE</t>
        </is>
      </c>
      <c r="F66">
        <f>A66&amp;"|"&amp;B66</f>
        <v/>
      </c>
    </row>
    <row r="67">
      <c r="A67" t="inlineStr">
        <is>
          <t>M040</t>
        </is>
      </c>
      <c r="B67" t="inlineStr">
        <is>
          <t>Commercial</t>
        </is>
      </c>
      <c r="C67" s="13" t="n">
        <v>0.039</v>
      </c>
      <c r="D67" t="inlineStr">
        <is>
          <t>Rate</t>
        </is>
      </c>
      <c r="E67" t="inlineStr">
        <is>
          <t>SUPPLEMENTARY EDUCATION-COM</t>
        </is>
      </c>
      <c r="F67">
        <f>A67&amp;"|"&amp;B67</f>
        <v/>
      </c>
    </row>
    <row r="68">
      <c r="A68" t="inlineStr">
        <is>
          <t>M040</t>
        </is>
      </c>
      <c r="B68" t="inlineStr">
        <is>
          <t>Residential</t>
        </is>
      </c>
      <c r="C68" s="13" t="n">
        <v>0.015</v>
      </c>
      <c r="D68" t="inlineStr">
        <is>
          <t>Rate</t>
        </is>
      </c>
      <c r="E68" t="inlineStr">
        <is>
          <t>SUPPLEMENTARY EDUCATION-RESIDE</t>
        </is>
      </c>
      <c r="F68">
        <f>A68&amp;"|"&amp;B68</f>
        <v/>
      </c>
    </row>
    <row r="69">
      <c r="A69" t="inlineStr">
        <is>
          <t>M040</t>
        </is>
      </c>
      <c r="B69" t="inlineStr">
        <is>
          <t>Resource</t>
        </is>
      </c>
      <c r="C69" s="13" t="n">
        <v>0.015</v>
      </c>
      <c r="D69" t="inlineStr">
        <is>
          <t>Rate</t>
        </is>
      </c>
      <c r="E69" t="inlineStr">
        <is>
          <t>SUPPLEMENTARY EDUCATION-RESOUR</t>
        </is>
      </c>
      <c r="F69">
        <f>A69&amp;"|"&amp;B69</f>
        <v/>
      </c>
    </row>
    <row r="70">
      <c r="A70" t="inlineStr">
        <is>
          <t>M050</t>
        </is>
      </c>
      <c r="B70" t="inlineStr">
        <is>
          <t>Commercial</t>
        </is>
      </c>
      <c r="C70" s="13" t="n">
        <v>0.039</v>
      </c>
      <c r="D70" t="inlineStr">
        <is>
          <t>Rate</t>
        </is>
      </c>
      <c r="E70" t="inlineStr">
        <is>
          <t>FIRE PROTECTION (HYDRANTS)-COM</t>
        </is>
      </c>
      <c r="F70">
        <f>A70&amp;"|"&amp;B70</f>
        <v/>
      </c>
    </row>
    <row r="71">
      <c r="A71" t="inlineStr">
        <is>
          <t>M050</t>
        </is>
      </c>
      <c r="B71" t="inlineStr">
        <is>
          <t>Residential</t>
        </is>
      </c>
      <c r="C71" s="13" t="n">
        <v>0.015</v>
      </c>
      <c r="D71" t="inlineStr">
        <is>
          <t>Rate</t>
        </is>
      </c>
      <c r="E71" t="inlineStr">
        <is>
          <t>FIRE PROTECTION (HYDRANTS)-RES</t>
        </is>
      </c>
      <c r="F71">
        <f>A71&amp;"|"&amp;B71</f>
        <v/>
      </c>
    </row>
    <row r="72">
      <c r="A72" t="inlineStr">
        <is>
          <t>M050</t>
        </is>
      </c>
      <c r="B72" t="inlineStr">
        <is>
          <t>Resource</t>
        </is>
      </c>
      <c r="C72" s="13" t="n">
        <v>0.015</v>
      </c>
      <c r="D72" t="inlineStr">
        <is>
          <t>Rate</t>
        </is>
      </c>
      <c r="E72" t="inlineStr">
        <is>
          <t>FIRE PROTECT (HYDRANTS)-RESOUR</t>
        </is>
      </c>
      <c r="F72">
        <f>A72&amp;"|"&amp;B72</f>
        <v/>
      </c>
    </row>
    <row r="73">
      <c r="A73" t="inlineStr">
        <is>
          <t>M052</t>
        </is>
      </c>
      <c r="B73" t="inlineStr">
        <is>
          <t>Commercial Exempt</t>
        </is>
      </c>
      <c r="C73" s="13" t="n">
        <v>0.039</v>
      </c>
      <c r="D73" t="inlineStr">
        <is>
          <t>Rate</t>
        </is>
      </c>
      <c r="E73" t="inlineStr">
        <is>
          <t>FIRE PROTECTION COM EXEMPT</t>
        </is>
      </c>
      <c r="F73">
        <f>A73&amp;"|"&amp;B73</f>
        <v/>
      </c>
    </row>
    <row r="74">
      <c r="A74" t="inlineStr">
        <is>
          <t>M052</t>
        </is>
      </c>
      <c r="B74" t="inlineStr">
        <is>
          <t>Residential Exempt</t>
        </is>
      </c>
      <c r="C74" s="13" t="n">
        <v>0.015</v>
      </c>
      <c r="D74" t="inlineStr">
        <is>
          <t>Rate</t>
        </is>
      </c>
      <c r="E74" t="inlineStr">
        <is>
          <t>FIRE PROTECTION -RESI EXEMPT</t>
        </is>
      </c>
      <c r="F74">
        <f>A74&amp;"|"&amp;B74</f>
        <v/>
      </c>
    </row>
    <row r="75">
      <c r="A75" t="inlineStr">
        <is>
          <t>M052</t>
        </is>
      </c>
      <c r="B75" t="inlineStr">
        <is>
          <t>Resource Exempt</t>
        </is>
      </c>
      <c r="C75" s="13" t="n">
        <v>0.015</v>
      </c>
      <c r="D75" t="inlineStr">
        <is>
          <t>Rate</t>
        </is>
      </c>
      <c r="E75" t="inlineStr">
        <is>
          <t>FIRE PROTECTION RESO EXEMPT</t>
        </is>
      </c>
      <c r="F75">
        <f>A75&amp;"|"&amp;B75</f>
        <v/>
      </c>
    </row>
    <row r="76">
      <c r="A76" t="inlineStr">
        <is>
          <t>M060</t>
        </is>
      </c>
      <c r="B76" t="inlineStr">
        <is>
          <t>Residential</t>
        </is>
      </c>
      <c r="C76" s="13" t="n">
        <v>0.092</v>
      </c>
      <c r="D76" t="inlineStr">
        <is>
          <t>Rate</t>
        </is>
      </c>
      <c r="E76" t="inlineStr">
        <is>
          <t>LOCAL TRANSIT-RESIDENTIAL</t>
        </is>
      </c>
      <c r="F76">
        <f>A76&amp;"|"&amp;B76</f>
        <v/>
      </c>
    </row>
    <row r="77">
      <c r="A77" t="inlineStr">
        <is>
          <t>M060</t>
        </is>
      </c>
      <c r="B77" t="inlineStr">
        <is>
          <t>Resource</t>
        </is>
      </c>
      <c r="C77" s="13" t="n">
        <v>0.092</v>
      </c>
      <c r="D77" t="inlineStr">
        <is>
          <t>Rate</t>
        </is>
      </c>
      <c r="E77" t="inlineStr">
        <is>
          <t>LOCAL TRANSIT-RESOURCE</t>
        </is>
      </c>
      <c r="F77">
        <f>A77&amp;"|"&amp;B77</f>
        <v/>
      </c>
    </row>
    <row r="78">
      <c r="A78" t="inlineStr">
        <is>
          <t>M080</t>
        </is>
      </c>
      <c r="B78" t="inlineStr">
        <is>
          <t>Commercial</t>
        </is>
      </c>
      <c r="C78" s="13" t="n">
        <v>0.07099999999999999</v>
      </c>
      <c r="D78" t="inlineStr">
        <is>
          <t>Rate</t>
        </is>
      </c>
      <c r="E78" t="inlineStr">
        <is>
          <t>CLIMATE CHANGE-COMMERCIAL</t>
        </is>
      </c>
      <c r="F78">
        <f>A78&amp;"|"&amp;B78</f>
        <v/>
      </c>
    </row>
    <row r="79">
      <c r="A79" t="inlineStr">
        <is>
          <t>M080</t>
        </is>
      </c>
      <c r="B79" t="inlineStr">
        <is>
          <t>Residential</t>
        </is>
      </c>
      <c r="C79" s="13" t="n">
        <v>0.017</v>
      </c>
      <c r="D79" t="inlineStr">
        <is>
          <t>Rate</t>
        </is>
      </c>
      <c r="E79" t="inlineStr">
        <is>
          <t>CLIMATE CHANGE-RESIDENTIAL</t>
        </is>
      </c>
      <c r="F79">
        <f>A79&amp;"|"&amp;B79</f>
        <v/>
      </c>
    </row>
    <row r="80">
      <c r="A80" t="inlineStr">
        <is>
          <t>M080</t>
        </is>
      </c>
      <c r="B80" t="inlineStr">
        <is>
          <t>Resource</t>
        </is>
      </c>
      <c r="C80" s="13" t="n">
        <v>0.017</v>
      </c>
      <c r="D80" t="inlineStr">
        <is>
          <t>Rate</t>
        </is>
      </c>
      <c r="E80" t="inlineStr">
        <is>
          <t>CLIMATE CHANGE-RESOURCE</t>
        </is>
      </c>
      <c r="F80">
        <f>A80&amp;"|"&amp;B80</f>
        <v/>
      </c>
    </row>
    <row r="81">
      <c r="A81" t="inlineStr">
        <is>
          <t>M090</t>
        </is>
      </c>
      <c r="B81" t="inlineStr">
        <is>
          <t>Commercial</t>
        </is>
      </c>
      <c r="C81" s="13" t="n">
        <v>0.01</v>
      </c>
      <c r="D81" t="inlineStr">
        <is>
          <t>Rate</t>
        </is>
      </c>
      <c r="E81" t="inlineStr">
        <is>
          <t>Stormwater Right Of Way-COMMER</t>
        </is>
      </c>
      <c r="F81">
        <f>A81&amp;"|"&amp;B81</f>
        <v/>
      </c>
    </row>
    <row r="82">
      <c r="A82" t="inlineStr">
        <is>
          <t>M090</t>
        </is>
      </c>
      <c r="B82" t="inlineStr">
        <is>
          <t>Residential</t>
        </is>
      </c>
      <c r="C82" s="13" t="n">
        <v>0.01</v>
      </c>
      <c r="D82" t="inlineStr">
        <is>
          <t>Rate</t>
        </is>
      </c>
      <c r="E82" t="inlineStr">
        <is>
          <t>Stormwater Right Of Way-RESIDE</t>
        </is>
      </c>
      <c r="F82">
        <f>A82&amp;"|"&amp;B82</f>
        <v/>
      </c>
    </row>
    <row r="83">
      <c r="A83" t="inlineStr">
        <is>
          <t>M090</t>
        </is>
      </c>
      <c r="B83" t="inlineStr">
        <is>
          <t>Resource</t>
        </is>
      </c>
      <c r="C83" s="13" t="n">
        <v>0.01</v>
      </c>
      <c r="D83" t="inlineStr">
        <is>
          <t>Rate</t>
        </is>
      </c>
      <c r="E83" t="inlineStr">
        <is>
          <t>Stormwater Right Of Way-RESOUR</t>
        </is>
      </c>
      <c r="F83">
        <f>A83&amp;"|"&amp;B83</f>
        <v/>
      </c>
    </row>
    <row r="84">
      <c r="A84" t="inlineStr">
        <is>
          <t>M100</t>
        </is>
      </c>
      <c r="B84" t="inlineStr">
        <is>
          <t>Commercial</t>
        </is>
      </c>
      <c r="C84" s="13" t="n">
        <v>0</v>
      </c>
      <c r="D84" t="inlineStr">
        <is>
          <t>Tiered Rate</t>
        </is>
      </c>
      <c r="E84" t="inlineStr">
        <is>
          <t>Business Park Area-COMMERCIAL</t>
        </is>
      </c>
      <c r="F84">
        <f>A84&amp;"|"&amp;B84</f>
        <v/>
      </c>
    </row>
    <row r="85">
      <c r="A85" t="inlineStr">
        <is>
          <t>M110</t>
        </is>
      </c>
      <c r="B85" t="inlineStr">
        <is>
          <t>Commercial</t>
        </is>
      </c>
      <c r="C85" s="13" t="n">
        <v>0</v>
      </c>
      <c r="D85" t="inlineStr">
        <is>
          <t>Tiered Rate</t>
        </is>
      </c>
      <c r="E85" t="inlineStr">
        <is>
          <t>Industrial Park Area-COMMERCIA</t>
        </is>
      </c>
      <c r="F85">
        <f>A85&amp;"|"&amp;B85</f>
        <v/>
      </c>
    </row>
    <row r="86">
      <c r="A86" t="inlineStr">
        <is>
          <t>M120</t>
        </is>
      </c>
      <c r="B86" t="inlineStr">
        <is>
          <t>Commercial</t>
        </is>
      </c>
      <c r="C86" s="13" t="n">
        <v>0</v>
      </c>
      <c r="D86" t="inlineStr">
        <is>
          <t>Tiered Rate</t>
        </is>
      </c>
      <c r="E86" t="inlineStr">
        <is>
          <t>Downtown/Community-COMMERCIAL</t>
        </is>
      </c>
      <c r="F86">
        <f>A86&amp;"|"&amp;B86</f>
        <v/>
      </c>
    </row>
    <row r="87">
      <c r="A87" t="inlineStr">
        <is>
          <t>M130</t>
        </is>
      </c>
      <c r="B87" t="inlineStr">
        <is>
          <t>Commercial</t>
        </is>
      </c>
      <c r="C87" s="13" t="n">
        <v>0</v>
      </c>
      <c r="D87" t="inlineStr">
        <is>
          <t>Tiered Rate</t>
        </is>
      </c>
      <c r="E87" t="inlineStr">
        <is>
          <t>Community Area-COMMERCIAL</t>
        </is>
      </c>
      <c r="F87">
        <f>A87&amp;"|"&amp;B87</f>
        <v/>
      </c>
    </row>
    <row r="88">
      <c r="A88" t="inlineStr">
        <is>
          <t>M140</t>
        </is>
      </c>
      <c r="B88" t="inlineStr">
        <is>
          <t>Commercial</t>
        </is>
      </c>
      <c r="C88" s="13" t="n">
        <v>2.55</v>
      </c>
      <c r="D88" t="inlineStr">
        <is>
          <t>Rate</t>
        </is>
      </c>
      <c r="E88" t="inlineStr">
        <is>
          <t>Rural Area-COMMERCIAL</t>
        </is>
      </c>
      <c r="F88">
        <f>A88&amp;"|"&amp;B88</f>
        <v/>
      </c>
    </row>
    <row r="89">
      <c r="A89" t="inlineStr">
        <is>
          <t>M410</t>
        </is>
      </c>
      <c r="B89" t="inlineStr">
        <is>
          <t>Non-Profit Acre</t>
        </is>
      </c>
      <c r="C89" s="13" t="n">
        <v>49.5495</v>
      </c>
      <c r="D89" t="inlineStr">
        <is>
          <t>Mandatory Rate</t>
        </is>
      </c>
      <c r="E89" t="inlineStr">
        <is>
          <t>NON PROFIT ACREAGE</t>
        </is>
      </c>
      <c r="F89">
        <f>A89&amp;"|"&amp;B89</f>
        <v/>
      </c>
    </row>
    <row r="90">
      <c r="A90" t="inlineStr">
        <is>
          <t>M610</t>
        </is>
      </c>
      <c r="B90" t="inlineStr">
        <is>
          <t>Commercial Forrest Acre</t>
        </is>
      </c>
      <c r="C90" s="13" t="n">
        <v>0.41</v>
      </c>
      <c r="D90" t="inlineStr">
        <is>
          <t>Mandatory Rate</t>
        </is>
      </c>
      <c r="E90" t="inlineStr">
        <is>
          <t>COMMERCIAL FOREST</t>
        </is>
      </c>
      <c r="F90">
        <f>A90&amp;"|"&amp;B90</f>
        <v/>
      </c>
    </row>
    <row r="91">
      <c r="A91" t="inlineStr">
        <is>
          <t>M710</t>
        </is>
      </c>
      <c r="B91" t="inlineStr">
        <is>
          <t>Resource Forrest Acre</t>
        </is>
      </c>
      <c r="C91" s="13" t="n">
        <v>0.269</v>
      </c>
      <c r="D91" t="inlineStr">
        <is>
          <t>Mandatory Rate</t>
        </is>
      </c>
      <c r="E91" t="inlineStr">
        <is>
          <t>RESOURCE FOREST</t>
        </is>
      </c>
      <c r="F91">
        <f>A91&amp;"|"&amp;B91</f>
        <v/>
      </c>
    </row>
    <row r="92">
      <c r="A92" t="inlineStr">
        <is>
          <t>P010</t>
        </is>
      </c>
      <c r="B92" t="inlineStr">
        <is>
          <t>Commercial</t>
        </is>
      </c>
      <c r="C92" s="13" t="n">
        <v>0.011</v>
      </c>
      <c r="D92" t="inlineStr">
        <is>
          <t>Rate</t>
        </is>
      </c>
      <c r="E92" t="inlineStr">
        <is>
          <t>PROPERTY VALU SERVICE TAX-COM</t>
        </is>
      </c>
      <c r="F92">
        <f>A92&amp;"|"&amp;B92</f>
        <v/>
      </c>
    </row>
    <row r="93">
      <c r="A93" t="inlineStr">
        <is>
          <t>P010</t>
        </is>
      </c>
      <c r="B93" t="inlineStr">
        <is>
          <t>Residential</t>
        </is>
      </c>
      <c r="C93" s="13" t="n">
        <v>0.011</v>
      </c>
      <c r="D93" t="inlineStr">
        <is>
          <t>Rate</t>
        </is>
      </c>
      <c r="E93" t="inlineStr">
        <is>
          <t>PROPERTY VALUATION SERVICE TAX</t>
        </is>
      </c>
      <c r="F93">
        <f>A93&amp;"|"&amp;B93</f>
        <v/>
      </c>
    </row>
    <row r="94">
      <c r="A94" t="inlineStr">
        <is>
          <t>P010</t>
        </is>
      </c>
      <c r="B94" t="inlineStr">
        <is>
          <t>Resource</t>
        </is>
      </c>
      <c r="C94" s="13" t="n">
        <v>0.011</v>
      </c>
      <c r="D94" t="inlineStr">
        <is>
          <t>Rate</t>
        </is>
      </c>
      <c r="E94" t="inlineStr">
        <is>
          <t>PROPERTY VALU SERVICE TAX-RESO</t>
        </is>
      </c>
      <c r="F94">
        <f>A94&amp;"|"&amp;B94</f>
        <v/>
      </c>
    </row>
    <row r="95">
      <c r="A95" t="inlineStr">
        <is>
          <t>P030</t>
        </is>
      </c>
      <c r="B95" t="inlineStr">
        <is>
          <t>Commercial</t>
        </is>
      </c>
      <c r="C95" s="13" t="n">
        <v>0.294</v>
      </c>
      <c r="D95" t="inlineStr">
        <is>
          <t>Rate</t>
        </is>
      </c>
      <c r="E95" t="inlineStr">
        <is>
          <t>EDUCATION TAX-COMMERCIAL</t>
        </is>
      </c>
      <c r="F95">
        <f>A95&amp;"|"&amp;B95</f>
        <v/>
      </c>
    </row>
    <row r="96">
      <c r="A96" t="inlineStr">
        <is>
          <t>P030</t>
        </is>
      </c>
      <c r="B96" t="inlineStr">
        <is>
          <t>Residential</t>
        </is>
      </c>
      <c r="C96" s="13" t="n">
        <v>0.294</v>
      </c>
      <c r="D96" t="inlineStr">
        <is>
          <t>Rate</t>
        </is>
      </c>
      <c r="E96" t="inlineStr">
        <is>
          <t>EDUCATION TAX-RESIDENTIAL</t>
        </is>
      </c>
      <c r="F96">
        <f>A96&amp;"|"&amp;B96</f>
        <v/>
      </c>
    </row>
    <row r="97">
      <c r="A97" t="inlineStr">
        <is>
          <t>P030</t>
        </is>
      </c>
      <c r="B97" t="inlineStr">
        <is>
          <t>Resource</t>
        </is>
      </c>
      <c r="C97" s="13" t="n">
        <v>0.294</v>
      </c>
      <c r="D97" t="inlineStr">
        <is>
          <t>Rate</t>
        </is>
      </c>
      <c r="E97" t="inlineStr">
        <is>
          <t>EDUCATION TAX-RESOURCE</t>
        </is>
      </c>
      <c r="F97">
        <f>A97&amp;"|"&amp;B97</f>
        <v/>
      </c>
    </row>
    <row r="98">
      <c r="A98" t="inlineStr">
        <is>
          <t>R000</t>
        </is>
      </c>
      <c r="B98" t="inlineStr">
        <is>
          <t>Commercial</t>
        </is>
      </c>
      <c r="C98" s="13" t="n">
        <v>330</v>
      </c>
      <c r="D98" t="inlineStr">
        <is>
          <t>Flat Rate</t>
        </is>
      </c>
      <c r="E98" t="inlineStr">
        <is>
          <t>PETPESWICK DR PRIV ROAD RES</t>
        </is>
      </c>
      <c r="F98">
        <f>A98&amp;"|"&amp;B98</f>
        <v/>
      </c>
    </row>
    <row r="99">
      <c r="A99" t="inlineStr">
        <is>
          <t>R000</t>
        </is>
      </c>
      <c r="B99" t="inlineStr">
        <is>
          <t>Residential</t>
        </is>
      </c>
      <c r="C99" s="13" t="n">
        <v>330</v>
      </c>
      <c r="D99" t="inlineStr">
        <is>
          <t>Flat Rate</t>
        </is>
      </c>
      <c r="E99" t="inlineStr">
        <is>
          <t>PETPESWICK DR PRIV ROAD RES</t>
        </is>
      </c>
      <c r="F99">
        <f>A99&amp;"|"&amp;B99</f>
        <v/>
      </c>
    </row>
    <row r="100">
      <c r="A100" t="inlineStr">
        <is>
          <t>R000</t>
        </is>
      </c>
      <c r="B100" t="inlineStr">
        <is>
          <t>Resource</t>
        </is>
      </c>
      <c r="C100" s="13" t="n">
        <v>330</v>
      </c>
      <c r="D100" t="inlineStr">
        <is>
          <t>Flat Rate</t>
        </is>
      </c>
      <c r="E100" t="inlineStr">
        <is>
          <t>PETPESWICK DR PRIV ROAD RES</t>
        </is>
      </c>
      <c r="F100">
        <f>A100&amp;"|"&amp;B100</f>
        <v/>
      </c>
    </row>
    <row r="101">
      <c r="A101" t="inlineStr">
        <is>
          <t>R010</t>
        </is>
      </c>
      <c r="B101" t="inlineStr">
        <is>
          <t>Commercial</t>
        </is>
      </c>
      <c r="C101" s="13" t="n">
        <v>590</v>
      </c>
      <c r="D101" t="inlineStr">
        <is>
          <t>Flat Rate</t>
        </is>
      </c>
      <c r="E101" t="inlineStr">
        <is>
          <t>THREE BROOKS PRIV ROAD RES</t>
        </is>
      </c>
      <c r="F101">
        <f>A101&amp;"|"&amp;B101</f>
        <v/>
      </c>
    </row>
    <row r="102">
      <c r="A102" t="inlineStr">
        <is>
          <t>R010</t>
        </is>
      </c>
      <c r="B102" t="inlineStr">
        <is>
          <t>Residential</t>
        </is>
      </c>
      <c r="C102" s="13" t="n">
        <v>590</v>
      </c>
      <c r="D102" t="inlineStr">
        <is>
          <t>Flat Rate</t>
        </is>
      </c>
      <c r="E102" t="inlineStr">
        <is>
          <t>THREE BROOKS PRIV ROAD RES</t>
        </is>
      </c>
      <c r="F102">
        <f>A102&amp;"|"&amp;B102</f>
        <v/>
      </c>
    </row>
    <row r="103">
      <c r="A103" t="inlineStr">
        <is>
          <t>R010</t>
        </is>
      </c>
      <c r="B103" t="inlineStr">
        <is>
          <t>Resource</t>
        </is>
      </c>
      <c r="C103" s="13" t="n">
        <v>590</v>
      </c>
      <c r="D103" t="inlineStr">
        <is>
          <t>Flat Rate</t>
        </is>
      </c>
      <c r="E103" t="inlineStr">
        <is>
          <t>THREE BROOKS PRIV ROAD RES</t>
        </is>
      </c>
      <c r="F103">
        <f>A103&amp;"|"&amp;B103</f>
        <v/>
      </c>
    </row>
    <row r="104">
      <c r="A104" t="inlineStr">
        <is>
          <t>R020</t>
        </is>
      </c>
      <c r="B104" t="inlineStr">
        <is>
          <t>Commercial</t>
        </is>
      </c>
      <c r="C104" s="13" t="n">
        <v>350</v>
      </c>
      <c r="D104" t="inlineStr">
        <is>
          <t>Flat Rate</t>
        </is>
      </c>
      <c r="E104" t="inlineStr">
        <is>
          <t>SOUTHWEST GRAND LAKE PRIV RDT1</t>
        </is>
      </c>
      <c r="F104">
        <f>A104&amp;"|"&amp;B104</f>
        <v/>
      </c>
    </row>
    <row r="105">
      <c r="A105" t="inlineStr">
        <is>
          <t>R020</t>
        </is>
      </c>
      <c r="B105" t="inlineStr">
        <is>
          <t>Residential</t>
        </is>
      </c>
      <c r="C105" s="13" t="n">
        <v>350</v>
      </c>
      <c r="D105" t="inlineStr">
        <is>
          <t>Flat Rate</t>
        </is>
      </c>
      <c r="E105" t="inlineStr">
        <is>
          <t>SOUTHWEST GRAND LAKE PRIV RDT1</t>
        </is>
      </c>
      <c r="F105">
        <f>A105&amp;"|"&amp;B105</f>
        <v/>
      </c>
    </row>
    <row r="106">
      <c r="A106" t="inlineStr">
        <is>
          <t>R020</t>
        </is>
      </c>
      <c r="B106" t="inlineStr">
        <is>
          <t>Resource</t>
        </is>
      </c>
      <c r="C106" s="13" t="n">
        <v>350</v>
      </c>
      <c r="D106" t="inlineStr">
        <is>
          <t>Flat Rate</t>
        </is>
      </c>
      <c r="E106" t="inlineStr">
        <is>
          <t>SOUTHWEST GRAND LAKE PRIV RDT1</t>
        </is>
      </c>
      <c r="F106">
        <f>A106&amp;"|"&amp;B106</f>
        <v/>
      </c>
    </row>
    <row r="107">
      <c r="A107" t="inlineStr">
        <is>
          <t>R030</t>
        </is>
      </c>
      <c r="B107" t="inlineStr">
        <is>
          <t>Commercial</t>
        </is>
      </c>
      <c r="C107" s="13" t="n">
        <v>450</v>
      </c>
      <c r="D107" t="inlineStr">
        <is>
          <t>Flat Rate</t>
        </is>
      </c>
      <c r="E107" t="inlineStr">
        <is>
          <t>SOUTHWEST GRAND LAKE PRIV RDT2</t>
        </is>
      </c>
      <c r="F107">
        <f>A107&amp;"|"&amp;B107</f>
        <v/>
      </c>
    </row>
    <row r="108">
      <c r="A108" t="inlineStr">
        <is>
          <t>R030</t>
        </is>
      </c>
      <c r="B108" t="inlineStr">
        <is>
          <t>Residential</t>
        </is>
      </c>
      <c r="C108" s="13" t="n">
        <v>450</v>
      </c>
      <c r="D108" t="inlineStr">
        <is>
          <t>Flat Rate</t>
        </is>
      </c>
      <c r="E108" t="inlineStr">
        <is>
          <t>SOUTHWEST GRAND LAKE PRIV RDT2</t>
        </is>
      </c>
      <c r="F108">
        <f>A108&amp;"|"&amp;B108</f>
        <v/>
      </c>
    </row>
    <row r="109">
      <c r="A109" t="inlineStr">
        <is>
          <t>R030</t>
        </is>
      </c>
      <c r="B109" t="inlineStr">
        <is>
          <t>Resource</t>
        </is>
      </c>
      <c r="C109" s="13" t="n">
        <v>450</v>
      </c>
      <c r="D109" t="inlineStr">
        <is>
          <t>Flat Rate</t>
        </is>
      </c>
      <c r="E109" t="inlineStr">
        <is>
          <t>SOUTHWEST GRAND LAKE PRIV RDT2</t>
        </is>
      </c>
      <c r="F109">
        <f>A109&amp;"|"&amp;B109</f>
        <v/>
      </c>
    </row>
    <row r="110">
      <c r="A110" t="inlineStr">
        <is>
          <t>R040</t>
        </is>
      </c>
      <c r="B110" t="inlineStr">
        <is>
          <t>Commercial</t>
        </is>
      </c>
      <c r="C110" s="13" t="n">
        <v>600</v>
      </c>
      <c r="D110" t="inlineStr">
        <is>
          <t>Flat Rate</t>
        </is>
      </c>
      <c r="E110" t="inlineStr">
        <is>
          <t>SOUTHWEST GRAND LAKE PRIV RDT3</t>
        </is>
      </c>
      <c r="F110">
        <f>A110&amp;"|"&amp;B110</f>
        <v/>
      </c>
    </row>
    <row r="111">
      <c r="A111" t="inlineStr">
        <is>
          <t>R040</t>
        </is>
      </c>
      <c r="B111" t="inlineStr">
        <is>
          <t>Residential</t>
        </is>
      </c>
      <c r="C111" s="13" t="n">
        <v>600</v>
      </c>
      <c r="D111" t="inlineStr">
        <is>
          <t>Flat Rate</t>
        </is>
      </c>
      <c r="E111" t="inlineStr">
        <is>
          <t>SOUTHWEST GRAND LAKE PRIV RDT3</t>
        </is>
      </c>
      <c r="F111">
        <f>A111&amp;"|"&amp;B111</f>
        <v/>
      </c>
    </row>
    <row r="112">
      <c r="A112" t="inlineStr">
        <is>
          <t>R040</t>
        </is>
      </c>
      <c r="B112" t="inlineStr">
        <is>
          <t>Resource</t>
        </is>
      </c>
      <c r="C112" s="13" t="n">
        <v>600</v>
      </c>
      <c r="D112" t="inlineStr">
        <is>
          <t>Flat Rate</t>
        </is>
      </c>
      <c r="E112" t="inlineStr">
        <is>
          <t>SOUTHWEST GRAND LAKE PRIV RDT3</t>
        </is>
      </c>
      <c r="F112">
        <f>A112&amp;"|"&amp;B112</f>
        <v/>
      </c>
    </row>
    <row r="113">
      <c r="A113" t="inlineStr">
        <is>
          <t>R050</t>
        </is>
      </c>
      <c r="B113" t="inlineStr">
        <is>
          <t>Commercial</t>
        </is>
      </c>
      <c r="C113" s="13" t="n">
        <v>750</v>
      </c>
      <c r="D113" t="inlineStr">
        <is>
          <t>Flat Rate</t>
        </is>
      </c>
      <c r="E113" t="inlineStr">
        <is>
          <t>SOUTHWEST GRAND LAKE PRIV RDT4</t>
        </is>
      </c>
      <c r="F113">
        <f>A113&amp;"|"&amp;B113</f>
        <v/>
      </c>
    </row>
    <row r="114">
      <c r="A114" t="inlineStr">
        <is>
          <t>R050</t>
        </is>
      </c>
      <c r="B114" t="inlineStr">
        <is>
          <t>Residential</t>
        </is>
      </c>
      <c r="C114" s="13" t="n">
        <v>750</v>
      </c>
      <c r="D114" t="inlineStr">
        <is>
          <t>Flat Rate</t>
        </is>
      </c>
      <c r="E114" t="inlineStr">
        <is>
          <t>SOUTHWEST GRAND LAKE PRIV RDT4</t>
        </is>
      </c>
      <c r="F114">
        <f>A114&amp;"|"&amp;B114</f>
        <v/>
      </c>
    </row>
    <row r="115">
      <c r="A115" t="inlineStr">
        <is>
          <t>R050</t>
        </is>
      </c>
      <c r="B115" t="inlineStr">
        <is>
          <t>Resource</t>
        </is>
      </c>
      <c r="C115" s="13" t="n">
        <v>750</v>
      </c>
      <c r="D115" t="inlineStr">
        <is>
          <t>Flat Rate</t>
        </is>
      </c>
      <c r="E115" t="inlineStr">
        <is>
          <t>SOUTHWEST GRAND LAKE PRIV RDT4</t>
        </is>
      </c>
      <c r="F115">
        <f>A115&amp;"|"&amp;B115</f>
        <v/>
      </c>
    </row>
    <row r="116">
      <c r="A116" t="inlineStr">
        <is>
          <t>R060</t>
        </is>
      </c>
      <c r="B116" t="inlineStr">
        <is>
          <t>Commercial</t>
        </is>
      </c>
      <c r="C116" s="13" t="n">
        <v>500</v>
      </c>
      <c r="D116" t="inlineStr">
        <is>
          <t>Flat Rate</t>
        </is>
      </c>
      <c r="E116" t="inlineStr">
        <is>
          <t>RIVER BEND/RIVER CRT MAINT RES</t>
        </is>
      </c>
      <c r="F116">
        <f>A116&amp;"|"&amp;B116</f>
        <v/>
      </c>
    </row>
    <row r="117">
      <c r="A117" t="inlineStr">
        <is>
          <t>R060</t>
        </is>
      </c>
      <c r="B117" t="inlineStr">
        <is>
          <t>Residential</t>
        </is>
      </c>
      <c r="C117" s="13" t="n">
        <v>500</v>
      </c>
      <c r="D117" t="inlineStr">
        <is>
          <t>Flat Rate</t>
        </is>
      </c>
      <c r="E117" t="inlineStr">
        <is>
          <t>RIVER BEND/RIVER CRT MAINT RES</t>
        </is>
      </c>
      <c r="F117">
        <f>A117&amp;"|"&amp;B117</f>
        <v/>
      </c>
    </row>
    <row r="118">
      <c r="A118" t="inlineStr">
        <is>
          <t>R060</t>
        </is>
      </c>
      <c r="B118" t="inlineStr">
        <is>
          <t>Resource</t>
        </is>
      </c>
      <c r="C118" s="13" t="n">
        <v>500</v>
      </c>
      <c r="D118" t="inlineStr">
        <is>
          <t>Flat Rate</t>
        </is>
      </c>
      <c r="E118" t="inlineStr">
        <is>
          <t>RIVER BEND/RIVER CRT MAINT RES</t>
        </is>
      </c>
      <c r="F118">
        <f>A118&amp;"|"&amp;B118</f>
        <v/>
      </c>
    </row>
    <row r="119">
      <c r="A119" t="inlineStr">
        <is>
          <t>R070</t>
        </is>
      </c>
      <c r="B119" t="inlineStr">
        <is>
          <t>Commercial</t>
        </is>
      </c>
      <c r="C119" s="13" t="n">
        <v>150</v>
      </c>
      <c r="D119" t="inlineStr">
        <is>
          <t>Flat Rate</t>
        </is>
      </c>
      <c r="E119" t="inlineStr">
        <is>
          <t>RANGE ROAD PRIVATE ROAD RES</t>
        </is>
      </c>
      <c r="F119">
        <f>A119&amp;"|"&amp;B119</f>
        <v/>
      </c>
    </row>
    <row r="120">
      <c r="A120" t="inlineStr">
        <is>
          <t>R070</t>
        </is>
      </c>
      <c r="B120" t="inlineStr">
        <is>
          <t>Residential</t>
        </is>
      </c>
      <c r="C120" s="13" t="n">
        <v>150</v>
      </c>
      <c r="D120" t="inlineStr">
        <is>
          <t>Flat Rate</t>
        </is>
      </c>
      <c r="E120" t="inlineStr">
        <is>
          <t>RANGE ROAD PRIVATE ROAD RES</t>
        </is>
      </c>
      <c r="F120">
        <f>A120&amp;"|"&amp;B120</f>
        <v/>
      </c>
    </row>
    <row r="121">
      <c r="A121" t="inlineStr">
        <is>
          <t>R070</t>
        </is>
      </c>
      <c r="B121" t="inlineStr">
        <is>
          <t>Resource</t>
        </is>
      </c>
      <c r="C121" s="13" t="n">
        <v>150</v>
      </c>
      <c r="D121" t="inlineStr">
        <is>
          <t>Flat Rate</t>
        </is>
      </c>
      <c r="E121" t="inlineStr">
        <is>
          <t>RANGE ROAD PRIVATE ROAD RES</t>
        </is>
      </c>
      <c r="F121">
        <f>A121&amp;"|"&amp;B121</f>
        <v/>
      </c>
    </row>
    <row r="122">
      <c r="A122" t="inlineStr">
        <is>
          <t>R080</t>
        </is>
      </c>
      <c r="B122" t="inlineStr">
        <is>
          <t>Commercial</t>
        </is>
      </c>
      <c r="C122" s="13" t="n">
        <v>450</v>
      </c>
      <c r="D122" t="inlineStr">
        <is>
          <t>Flat Rate</t>
        </is>
      </c>
      <c r="E122" t="inlineStr">
        <is>
          <t>RUTTER COURT RESIDENTS RES</t>
        </is>
      </c>
      <c r="F122">
        <f>A122&amp;"|"&amp;B122</f>
        <v/>
      </c>
    </row>
    <row r="123">
      <c r="A123" t="inlineStr">
        <is>
          <t>R080</t>
        </is>
      </c>
      <c r="B123" t="inlineStr">
        <is>
          <t>Residential</t>
        </is>
      </c>
      <c r="C123" s="13" t="n">
        <v>450</v>
      </c>
      <c r="D123" t="inlineStr">
        <is>
          <t>Flat Rate</t>
        </is>
      </c>
      <c r="E123" t="inlineStr">
        <is>
          <t>RUTTER COURT RESIDENTS RES</t>
        </is>
      </c>
      <c r="F123">
        <f>A123&amp;"|"&amp;B123</f>
        <v/>
      </c>
    </row>
    <row r="124">
      <c r="A124" t="inlineStr">
        <is>
          <t>R080</t>
        </is>
      </c>
      <c r="B124" t="inlineStr">
        <is>
          <t>Resource</t>
        </is>
      </c>
      <c r="C124" s="13" t="n">
        <v>450</v>
      </c>
      <c r="D124" t="inlineStr">
        <is>
          <t>Flat Rate</t>
        </is>
      </c>
      <c r="E124" t="inlineStr">
        <is>
          <t>RUTTER COURT RESIDENTS RES</t>
        </is>
      </c>
      <c r="F124">
        <f>A124&amp;"|"&amp;B124</f>
        <v/>
      </c>
    </row>
    <row r="125">
      <c r="A125" t="inlineStr">
        <is>
          <t>R090</t>
        </is>
      </c>
      <c r="B125" t="inlineStr">
        <is>
          <t>Commercial</t>
        </is>
      </c>
      <c r="C125" s="13" t="n">
        <v>445.33</v>
      </c>
      <c r="D125" t="inlineStr">
        <is>
          <t>Flat Rate</t>
        </is>
      </c>
      <c r="E125" t="inlineStr">
        <is>
          <t>BALD ROCK RD MAINTENANCE RES</t>
        </is>
      </c>
      <c r="F125">
        <f>A125&amp;"|"&amp;B125</f>
        <v/>
      </c>
    </row>
    <row r="126">
      <c r="A126" t="inlineStr">
        <is>
          <t>R090</t>
        </is>
      </c>
      <c r="B126" t="inlineStr">
        <is>
          <t>Residential</t>
        </is>
      </c>
      <c r="C126" s="13" t="n">
        <v>445.33</v>
      </c>
      <c r="D126" t="inlineStr">
        <is>
          <t>Flat Rate</t>
        </is>
      </c>
      <c r="E126" t="inlineStr">
        <is>
          <t>BALD ROCK RD MAINTENANCE RES</t>
        </is>
      </c>
      <c r="F126">
        <f>A126&amp;"|"&amp;B126</f>
        <v/>
      </c>
    </row>
    <row r="127">
      <c r="A127" t="inlineStr">
        <is>
          <t>R090</t>
        </is>
      </c>
      <c r="B127" t="inlineStr">
        <is>
          <t>Resource</t>
        </is>
      </c>
      <c r="C127" s="13" t="n">
        <v>445.33</v>
      </c>
      <c r="D127" t="inlineStr">
        <is>
          <t>Flat Rate</t>
        </is>
      </c>
      <c r="E127" t="inlineStr">
        <is>
          <t>BALD ROCK RD MAINTENANCE RES</t>
        </is>
      </c>
      <c r="F127">
        <f>A127&amp;"|"&amp;B127</f>
        <v/>
      </c>
    </row>
    <row r="128">
      <c r="A128" t="inlineStr">
        <is>
          <t>R100</t>
        </is>
      </c>
      <c r="B128" t="inlineStr">
        <is>
          <t>Commercial</t>
        </is>
      </c>
      <c r="C128" s="13" t="n">
        <v>450</v>
      </c>
      <c r="D128" t="inlineStr">
        <is>
          <t>Flat Rate</t>
        </is>
      </c>
      <c r="E128" t="inlineStr">
        <is>
          <t>ST MARG RD MAINTENANCE RES</t>
        </is>
      </c>
      <c r="F128">
        <f>A128&amp;"|"&amp;B128</f>
        <v/>
      </c>
    </row>
    <row r="129">
      <c r="A129" t="inlineStr">
        <is>
          <t>R100</t>
        </is>
      </c>
      <c r="B129" t="inlineStr">
        <is>
          <t>Residential</t>
        </is>
      </c>
      <c r="C129" s="13" t="n">
        <v>450</v>
      </c>
      <c r="D129" t="inlineStr">
        <is>
          <t>Flat Rate</t>
        </is>
      </c>
      <c r="E129" t="inlineStr">
        <is>
          <t>ST MARG RD MAINTENANCE RES</t>
        </is>
      </c>
      <c r="F129">
        <f>A129&amp;"|"&amp;B129</f>
        <v/>
      </c>
    </row>
    <row r="130">
      <c r="A130" t="inlineStr">
        <is>
          <t>R100</t>
        </is>
      </c>
      <c r="B130" t="inlineStr">
        <is>
          <t>Resource</t>
        </is>
      </c>
      <c r="C130" s="13" t="n">
        <v>450</v>
      </c>
      <c r="D130" t="inlineStr">
        <is>
          <t>Flat Rate</t>
        </is>
      </c>
      <c r="E130" t="inlineStr">
        <is>
          <t>ST MARG RD MAINTENANCE RES</t>
        </is>
      </c>
      <c r="F130">
        <f>A130&amp;"|"&amp;B130</f>
        <v/>
      </c>
    </row>
    <row r="131">
      <c r="A131" t="inlineStr">
        <is>
          <t>R110</t>
        </is>
      </c>
      <c r="B131" t="inlineStr">
        <is>
          <t>Commercial</t>
        </is>
      </c>
      <c r="C131" s="13" t="n">
        <v>150</v>
      </c>
      <c r="D131" t="inlineStr">
        <is>
          <t>Flat Rate</t>
        </is>
      </c>
      <c r="E131" t="inlineStr">
        <is>
          <t>BLACK'S SUBDIV RATE PAY RES</t>
        </is>
      </c>
      <c r="F131">
        <f>A131&amp;"|"&amp;B131</f>
        <v/>
      </c>
    </row>
    <row r="132">
      <c r="A132" t="inlineStr">
        <is>
          <t>R110</t>
        </is>
      </c>
      <c r="B132" t="inlineStr">
        <is>
          <t>Residential</t>
        </is>
      </c>
      <c r="C132" s="13" t="n">
        <v>150</v>
      </c>
      <c r="D132" t="inlineStr">
        <is>
          <t>Flat Rate</t>
        </is>
      </c>
      <c r="E132" t="inlineStr">
        <is>
          <t>BLACK'S SUBDIV RATE PAY RES</t>
        </is>
      </c>
      <c r="F132">
        <f>A132&amp;"|"&amp;B132</f>
        <v/>
      </c>
    </row>
    <row r="133">
      <c r="A133" t="inlineStr">
        <is>
          <t>R110</t>
        </is>
      </c>
      <c r="B133" t="inlineStr">
        <is>
          <t>Resource</t>
        </is>
      </c>
      <c r="C133" s="13" t="n">
        <v>150</v>
      </c>
      <c r="D133" t="inlineStr">
        <is>
          <t>Flat Rate</t>
        </is>
      </c>
      <c r="E133" t="inlineStr">
        <is>
          <t>BLACK'S SUBDIV RATE PAY RES</t>
        </is>
      </c>
      <c r="F133">
        <f>A133&amp;"|"&amp;B133</f>
        <v/>
      </c>
    </row>
    <row r="134">
      <c r="A134" t="inlineStr">
        <is>
          <t>R120</t>
        </is>
      </c>
      <c r="B134" t="inlineStr">
        <is>
          <t>Commercial</t>
        </is>
      </c>
      <c r="C134" s="13" t="n">
        <v>500</v>
      </c>
      <c r="D134" t="inlineStr">
        <is>
          <t>Flat Rate</t>
        </is>
      </c>
      <c r="E134" t="inlineStr">
        <is>
          <t>REDOUBT HEAD HOMEOWN RES</t>
        </is>
      </c>
      <c r="F134">
        <f>A134&amp;"|"&amp;B134</f>
        <v/>
      </c>
    </row>
    <row r="135">
      <c r="A135" t="inlineStr">
        <is>
          <t>R120</t>
        </is>
      </c>
      <c r="B135" t="inlineStr">
        <is>
          <t>Residential</t>
        </is>
      </c>
      <c r="C135" s="13" t="n">
        <v>500</v>
      </c>
      <c r="D135" t="inlineStr">
        <is>
          <t>Flat Rate</t>
        </is>
      </c>
      <c r="E135" t="inlineStr">
        <is>
          <t>REDOUBT HEAD HOMEOWN RES</t>
        </is>
      </c>
      <c r="F135">
        <f>A135&amp;"|"&amp;B135</f>
        <v/>
      </c>
    </row>
    <row r="136">
      <c r="A136" t="inlineStr">
        <is>
          <t>R120</t>
        </is>
      </c>
      <c r="B136" t="inlineStr">
        <is>
          <t>Resource</t>
        </is>
      </c>
      <c r="C136" s="13" t="n">
        <v>500</v>
      </c>
      <c r="D136" t="inlineStr">
        <is>
          <t>Flat Rate</t>
        </is>
      </c>
      <c r="E136" t="inlineStr">
        <is>
          <t>REDOUBT HEAD HOMEOWN RES</t>
        </is>
      </c>
      <c r="F136">
        <f>A136&amp;"|"&amp;B136</f>
        <v/>
      </c>
    </row>
    <row r="137">
      <c r="A137" t="inlineStr">
        <is>
          <t>R130</t>
        </is>
      </c>
      <c r="B137" t="inlineStr">
        <is>
          <t>Commercial</t>
        </is>
      </c>
      <c r="C137" s="13" t="n">
        <v>300</v>
      </c>
      <c r="D137" t="inlineStr">
        <is>
          <t>Flat Rate</t>
        </is>
      </c>
      <c r="E137" t="inlineStr">
        <is>
          <t>MARINER'S ANCHORAGE RES</t>
        </is>
      </c>
      <c r="F137">
        <f>A137&amp;"|"&amp;B137</f>
        <v/>
      </c>
    </row>
    <row r="138">
      <c r="A138" t="inlineStr">
        <is>
          <t>R130</t>
        </is>
      </c>
      <c r="B138" t="inlineStr">
        <is>
          <t>Residential</t>
        </is>
      </c>
      <c r="C138" s="13" t="n">
        <v>300</v>
      </c>
      <c r="D138" t="inlineStr">
        <is>
          <t>Flat Rate</t>
        </is>
      </c>
      <c r="E138" t="inlineStr">
        <is>
          <t>MARINER'S ANCHORAGE RES</t>
        </is>
      </c>
      <c r="F138">
        <f>A138&amp;"|"&amp;B138</f>
        <v/>
      </c>
    </row>
    <row r="139">
      <c r="A139" t="inlineStr">
        <is>
          <t>R130</t>
        </is>
      </c>
      <c r="B139" t="inlineStr">
        <is>
          <t>Resource</t>
        </is>
      </c>
      <c r="C139" s="13" t="n">
        <v>300</v>
      </c>
      <c r="D139" t="inlineStr">
        <is>
          <t>Flat Rate</t>
        </is>
      </c>
      <c r="E139" t="inlineStr">
        <is>
          <t>MARINER'S ANCHORAGE RES</t>
        </is>
      </c>
      <c r="F139">
        <f>A139&amp;"|"&amp;B139</f>
        <v/>
      </c>
    </row>
    <row r="140">
      <c r="A140" t="inlineStr">
        <is>
          <t>R140</t>
        </is>
      </c>
      <c r="B140" t="inlineStr">
        <is>
          <t>Commercial</t>
        </is>
      </c>
      <c r="C140" s="13" t="n">
        <v>340</v>
      </c>
      <c r="D140" t="inlineStr">
        <is>
          <t>Flat Rate</t>
        </is>
      </c>
      <c r="E140" t="inlineStr">
        <is>
          <t>ST MARG BAY HEIGHTS PR RES</t>
        </is>
      </c>
      <c r="F140">
        <f>A140&amp;"|"&amp;B140</f>
        <v/>
      </c>
    </row>
    <row r="141">
      <c r="A141" t="inlineStr">
        <is>
          <t>R140</t>
        </is>
      </c>
      <c r="B141" t="inlineStr">
        <is>
          <t>Residential</t>
        </is>
      </c>
      <c r="C141" s="13" t="n">
        <v>340</v>
      </c>
      <c r="D141" t="inlineStr">
        <is>
          <t>Flat Rate</t>
        </is>
      </c>
      <c r="E141" t="inlineStr">
        <is>
          <t>ST MARG BAY HEIGHTS PR RES</t>
        </is>
      </c>
      <c r="F141">
        <f>A141&amp;"|"&amp;B141</f>
        <v/>
      </c>
    </row>
    <row r="142">
      <c r="A142" t="inlineStr">
        <is>
          <t>R140</t>
        </is>
      </c>
      <c r="B142" t="inlineStr">
        <is>
          <t>Resource</t>
        </is>
      </c>
      <c r="C142" s="13" t="n">
        <v>340</v>
      </c>
      <c r="D142" t="inlineStr">
        <is>
          <t>Flat Rate</t>
        </is>
      </c>
      <c r="E142" t="inlineStr">
        <is>
          <t>ST MARG BAY HEIGHTS PR RES</t>
        </is>
      </c>
      <c r="F142">
        <f>A142&amp;"|"&amp;B142</f>
        <v/>
      </c>
    </row>
    <row r="143">
      <c r="A143" t="inlineStr">
        <is>
          <t>R150</t>
        </is>
      </c>
      <c r="B143" t="inlineStr">
        <is>
          <t>Commercial</t>
        </is>
      </c>
      <c r="C143" s="13" t="n">
        <v>700</v>
      </c>
      <c r="D143" t="inlineStr">
        <is>
          <t>Flat Rate</t>
        </is>
      </c>
      <c r="E143" t="inlineStr">
        <is>
          <t>SHILOH /KARLA DR ROAD RES</t>
        </is>
      </c>
      <c r="F143">
        <f>A143&amp;"|"&amp;B143</f>
        <v/>
      </c>
    </row>
    <row r="144">
      <c r="A144" t="inlineStr">
        <is>
          <t>R150</t>
        </is>
      </c>
      <c r="B144" t="inlineStr">
        <is>
          <t>Residential</t>
        </is>
      </c>
      <c r="C144" s="13" t="n">
        <v>700</v>
      </c>
      <c r="D144" t="inlineStr">
        <is>
          <t>Flat Rate</t>
        </is>
      </c>
      <c r="E144" t="inlineStr">
        <is>
          <t>SHILOH /KARLA DR ROAD RES</t>
        </is>
      </c>
      <c r="F144">
        <f>A144&amp;"|"&amp;B144</f>
        <v/>
      </c>
    </row>
    <row r="145">
      <c r="A145" t="inlineStr">
        <is>
          <t>R150</t>
        </is>
      </c>
      <c r="B145" t="inlineStr">
        <is>
          <t>Resource</t>
        </is>
      </c>
      <c r="C145" s="13" t="n">
        <v>700</v>
      </c>
      <c r="D145" t="inlineStr">
        <is>
          <t>Flat Rate</t>
        </is>
      </c>
      <c r="E145" t="inlineStr">
        <is>
          <t>SHILOH /KARLA DR ROAD RES</t>
        </is>
      </c>
      <c r="F145">
        <f>A145&amp;"|"&amp;B145</f>
        <v/>
      </c>
    </row>
    <row r="146">
      <c r="A146" t="inlineStr">
        <is>
          <t>R160</t>
        </is>
      </c>
      <c r="B146" t="inlineStr">
        <is>
          <t>Commercial</t>
        </is>
      </c>
      <c r="C146" s="13" t="n">
        <v>900</v>
      </c>
      <c r="D146" t="inlineStr">
        <is>
          <t>Flat Rate</t>
        </is>
      </c>
      <c r="E146" t="inlineStr">
        <is>
          <t>KELLY POINT PRIVATE ROAD RES</t>
        </is>
      </c>
      <c r="F146">
        <f>A146&amp;"|"&amp;B146</f>
        <v/>
      </c>
    </row>
    <row r="147">
      <c r="A147" t="inlineStr">
        <is>
          <t>R160</t>
        </is>
      </c>
      <c r="B147" t="inlineStr">
        <is>
          <t>Residential</t>
        </is>
      </c>
      <c r="C147" s="13" t="n">
        <v>900</v>
      </c>
      <c r="D147" t="inlineStr">
        <is>
          <t>Flat Rate</t>
        </is>
      </c>
      <c r="E147" t="inlineStr">
        <is>
          <t>KELLY POINT PRIVATE ROAD RES</t>
        </is>
      </c>
      <c r="F147">
        <f>A147&amp;"|"&amp;B147</f>
        <v/>
      </c>
    </row>
    <row r="148">
      <c r="A148" t="inlineStr">
        <is>
          <t>R160</t>
        </is>
      </c>
      <c r="B148" t="inlineStr">
        <is>
          <t>Resource</t>
        </is>
      </c>
      <c r="C148" s="13" t="n">
        <v>900</v>
      </c>
      <c r="D148" t="inlineStr">
        <is>
          <t>Flat Rate</t>
        </is>
      </c>
      <c r="E148" t="inlineStr">
        <is>
          <t>KELLY POINT PRIVATE ROAD RES</t>
        </is>
      </c>
      <c r="F148">
        <f>A148&amp;"|"&amp;B148</f>
        <v/>
      </c>
    </row>
    <row r="149">
      <c r="A149" t="inlineStr">
        <is>
          <t>R170</t>
        </is>
      </c>
      <c r="B149" t="inlineStr">
        <is>
          <t>Commercial</t>
        </is>
      </c>
      <c r="C149" s="13" t="n">
        <v>750</v>
      </c>
      <c r="D149" t="inlineStr">
        <is>
          <t>Flat Rate</t>
        </is>
      </c>
      <c r="E149" t="inlineStr">
        <is>
          <t>JENNA LANE PRIVATE ROAD RES</t>
        </is>
      </c>
      <c r="F149">
        <f>A149&amp;"|"&amp;B149</f>
        <v/>
      </c>
    </row>
    <row r="150">
      <c r="A150" t="inlineStr">
        <is>
          <t>R170</t>
        </is>
      </c>
      <c r="B150" t="inlineStr">
        <is>
          <t>Residential</t>
        </is>
      </c>
      <c r="C150" s="13" t="n">
        <v>750</v>
      </c>
      <c r="D150" t="inlineStr">
        <is>
          <t>Flat Rate</t>
        </is>
      </c>
      <c r="E150" t="inlineStr">
        <is>
          <t>JENNA LANE PRIVATE ROAD RES</t>
        </is>
      </c>
      <c r="F150">
        <f>A150&amp;"|"&amp;B150</f>
        <v/>
      </c>
    </row>
    <row r="151">
      <c r="A151" t="inlineStr">
        <is>
          <t>R170</t>
        </is>
      </c>
      <c r="B151" t="inlineStr">
        <is>
          <t>Resource</t>
        </is>
      </c>
      <c r="C151" s="13" t="n">
        <v>750</v>
      </c>
      <c r="D151" t="inlineStr">
        <is>
          <t>Flat Rate</t>
        </is>
      </c>
      <c r="E151" t="inlineStr">
        <is>
          <t>JENNA LANE PRIVATE ROAD RES</t>
        </is>
      </c>
      <c r="F151">
        <f>A151&amp;"|"&amp;B151</f>
        <v/>
      </c>
    </row>
    <row r="152">
      <c r="A152" t="inlineStr">
        <is>
          <t>R180</t>
        </is>
      </c>
      <c r="B152" t="inlineStr">
        <is>
          <t>Commercial</t>
        </is>
      </c>
      <c r="C152" s="13" t="n">
        <v>600</v>
      </c>
      <c r="D152" t="inlineStr">
        <is>
          <t>Flat Rate</t>
        </is>
      </c>
      <c r="E152" t="inlineStr">
        <is>
          <t>BAYVIEW HOMEOWNERS SOC RES</t>
        </is>
      </c>
      <c r="F152">
        <f>A152&amp;"|"&amp;B152</f>
        <v/>
      </c>
    </row>
    <row r="153">
      <c r="A153" t="inlineStr">
        <is>
          <t>R180</t>
        </is>
      </c>
      <c r="B153" t="inlineStr">
        <is>
          <t>Residential</t>
        </is>
      </c>
      <c r="C153" s="13" t="n">
        <v>600</v>
      </c>
      <c r="D153" t="inlineStr">
        <is>
          <t>Flat Rate</t>
        </is>
      </c>
      <c r="E153" t="inlineStr">
        <is>
          <t>BAYVIEW HOMEOWNERS SOC RES</t>
        </is>
      </c>
      <c r="F153">
        <f>A153&amp;"|"&amp;B153</f>
        <v/>
      </c>
    </row>
    <row r="154">
      <c r="A154" t="inlineStr">
        <is>
          <t>R180</t>
        </is>
      </c>
      <c r="B154" t="inlineStr">
        <is>
          <t>Resource</t>
        </is>
      </c>
      <c r="C154" s="13" t="n">
        <v>600</v>
      </c>
      <c r="D154" t="inlineStr">
        <is>
          <t>Flat Rate</t>
        </is>
      </c>
      <c r="E154" t="inlineStr">
        <is>
          <t>BAYVIEW HOMEOWNERS SOC RES</t>
        </is>
      </c>
      <c r="F154">
        <f>A154&amp;"|"&amp;B154</f>
        <v/>
      </c>
    </row>
    <row r="155">
      <c r="A155" t="inlineStr">
        <is>
          <t>R190</t>
        </is>
      </c>
      <c r="B155" t="inlineStr">
        <is>
          <t>Commercial</t>
        </is>
      </c>
      <c r="C155" s="13" t="n">
        <v>680</v>
      </c>
      <c r="D155" t="inlineStr">
        <is>
          <t>Flat Rate</t>
        </is>
      </c>
      <c r="E155" t="inlineStr">
        <is>
          <t>CAMBRIAN'S COVE HOMEOWNER RES</t>
        </is>
      </c>
      <c r="F155">
        <f>A155&amp;"|"&amp;B155</f>
        <v/>
      </c>
    </row>
    <row r="156">
      <c r="A156" t="inlineStr">
        <is>
          <t>R190</t>
        </is>
      </c>
      <c r="B156" t="inlineStr">
        <is>
          <t>Residential</t>
        </is>
      </c>
      <c r="C156" s="13" t="n">
        <v>680</v>
      </c>
      <c r="D156" t="inlineStr">
        <is>
          <t>Flat Rate</t>
        </is>
      </c>
      <c r="E156" t="inlineStr">
        <is>
          <t>CAMBRIAN'S COVE HOMEOWNER RES</t>
        </is>
      </c>
      <c r="F156">
        <f>A156&amp;"|"&amp;B156</f>
        <v/>
      </c>
    </row>
    <row r="157">
      <c r="A157" t="inlineStr">
        <is>
          <t>R190</t>
        </is>
      </c>
      <c r="B157" t="inlineStr">
        <is>
          <t>Resource</t>
        </is>
      </c>
      <c r="C157" s="13" t="n">
        <v>680</v>
      </c>
      <c r="D157" t="inlineStr">
        <is>
          <t>Flat Rate</t>
        </is>
      </c>
      <c r="E157" t="inlineStr">
        <is>
          <t>CAMBRIAN'S COVE HOMEOWNER RES</t>
        </is>
      </c>
      <c r="F157">
        <f>A157&amp;"|"&amp;B157</f>
        <v/>
      </c>
    </row>
    <row r="158">
      <c r="A158" t="inlineStr">
        <is>
          <t>R200</t>
        </is>
      </c>
      <c r="B158" t="inlineStr">
        <is>
          <t>Commercial</t>
        </is>
      </c>
      <c r="C158" s="13" t="n">
        <v>900</v>
      </c>
      <c r="D158" t="inlineStr">
        <is>
          <t>Flat Rate</t>
        </is>
      </c>
      <c r="E158" t="inlineStr">
        <is>
          <t>SELOA RD MAINTENANCE RES</t>
        </is>
      </c>
      <c r="F158">
        <f>A158&amp;"|"&amp;B158</f>
        <v/>
      </c>
    </row>
    <row r="159">
      <c r="A159" t="inlineStr">
        <is>
          <t>R200</t>
        </is>
      </c>
      <c r="B159" t="inlineStr">
        <is>
          <t>Residential</t>
        </is>
      </c>
      <c r="C159" s="13" t="n">
        <v>900</v>
      </c>
      <c r="D159" t="inlineStr">
        <is>
          <t>Flat Rate</t>
        </is>
      </c>
      <c r="E159" t="inlineStr">
        <is>
          <t>SELOA RD MAINTENANCE RES</t>
        </is>
      </c>
      <c r="F159">
        <f>A159&amp;"|"&amp;B159</f>
        <v/>
      </c>
    </row>
    <row r="160">
      <c r="A160" t="inlineStr">
        <is>
          <t>R200</t>
        </is>
      </c>
      <c r="B160" t="inlineStr">
        <is>
          <t>Resource</t>
        </is>
      </c>
      <c r="C160" s="13" t="n">
        <v>900</v>
      </c>
      <c r="D160" t="inlineStr">
        <is>
          <t>Flat Rate</t>
        </is>
      </c>
      <c r="E160" t="inlineStr">
        <is>
          <t>SELOA RD MAINTENANCE RES</t>
        </is>
      </c>
      <c r="F160">
        <f>A160&amp;"|"&amp;B160</f>
        <v/>
      </c>
    </row>
    <row r="161">
      <c r="A161" t="inlineStr">
        <is>
          <t>R210</t>
        </is>
      </c>
      <c r="B161" t="inlineStr">
        <is>
          <t>Commercial</t>
        </is>
      </c>
      <c r="C161" s="13" t="n">
        <v>150</v>
      </c>
      <c r="D161" t="inlineStr">
        <is>
          <t>Flat Rate</t>
        </is>
      </c>
      <c r="E161" t="inlineStr">
        <is>
          <t>BLACK'S SUBDIV RATE PAY RES 75</t>
        </is>
      </c>
      <c r="F161">
        <f>A161&amp;"|"&amp;B161</f>
        <v/>
      </c>
    </row>
    <row r="162">
      <c r="A162" t="inlineStr">
        <is>
          <t>R210</t>
        </is>
      </c>
      <c r="B162" t="inlineStr">
        <is>
          <t>Residential</t>
        </is>
      </c>
      <c r="C162" s="13" t="n">
        <v>150</v>
      </c>
      <c r="D162" t="inlineStr">
        <is>
          <t>Flat Rate</t>
        </is>
      </c>
      <c r="E162" t="inlineStr">
        <is>
          <t>BLACK'S SUBDIV RATE PAY RES 75</t>
        </is>
      </c>
      <c r="F162">
        <f>A162&amp;"|"&amp;B162</f>
        <v/>
      </c>
    </row>
    <row r="163">
      <c r="A163" t="inlineStr">
        <is>
          <t>R210</t>
        </is>
      </c>
      <c r="B163" t="inlineStr">
        <is>
          <t>Resource</t>
        </is>
      </c>
      <c r="C163" s="13" t="n">
        <v>150</v>
      </c>
      <c r="D163" t="inlineStr">
        <is>
          <t>Flat Rate</t>
        </is>
      </c>
      <c r="E163" t="inlineStr">
        <is>
          <t>BLACK'S SUBDIV RATE PAY RES 75</t>
        </is>
      </c>
      <c r="F163">
        <f>A163&amp;"|"&amp;B163</f>
        <v/>
      </c>
    </row>
    <row r="164">
      <c r="A164" t="inlineStr">
        <is>
          <t>R220</t>
        </is>
      </c>
      <c r="B164" t="inlineStr">
        <is>
          <t>Commercial</t>
        </is>
      </c>
      <c r="C164" s="13" t="n">
        <v>250</v>
      </c>
      <c r="D164" t="inlineStr">
        <is>
          <t>Flat Rate</t>
        </is>
      </c>
      <c r="E164" t="inlineStr">
        <is>
          <t>GILL COVE RD MAINT RES</t>
        </is>
      </c>
      <c r="F164">
        <f>A164&amp;"|"&amp;B164</f>
        <v/>
      </c>
    </row>
    <row r="165">
      <c r="A165" t="inlineStr">
        <is>
          <t>R220</t>
        </is>
      </c>
      <c r="B165" t="inlineStr">
        <is>
          <t>Residential</t>
        </is>
      </c>
      <c r="C165" s="13" t="n">
        <v>250</v>
      </c>
      <c r="D165" t="inlineStr">
        <is>
          <t>Flat Rate</t>
        </is>
      </c>
      <c r="E165" t="inlineStr">
        <is>
          <t>GILL COVE RD MAINT RES</t>
        </is>
      </c>
      <c r="F165">
        <f>A165&amp;"|"&amp;B165</f>
        <v/>
      </c>
    </row>
    <row r="166">
      <c r="A166" t="inlineStr">
        <is>
          <t>R220</t>
        </is>
      </c>
      <c r="B166" t="inlineStr">
        <is>
          <t>Resource</t>
        </is>
      </c>
      <c r="C166" s="13" t="n">
        <v>250</v>
      </c>
      <c r="D166" t="inlineStr">
        <is>
          <t>Flat Rate</t>
        </is>
      </c>
      <c r="E166" t="inlineStr">
        <is>
          <t>GILL COVE RD MAINT RES</t>
        </is>
      </c>
      <c r="F166">
        <f>A166&amp;"|"&amp;B166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33" customWidth="1" min="3" max="3"/>
  </cols>
  <sheetData>
    <row r="1">
      <c r="A1" s="6" t="inlineStr">
        <is>
          <t>AREARATE_CODE</t>
        </is>
      </c>
      <c r="B1" s="6" t="inlineStr">
        <is>
          <t>DESCRIP</t>
        </is>
      </c>
      <c r="C1" s="6" t="inlineStr">
        <is>
          <t>category</t>
        </is>
      </c>
    </row>
    <row r="2">
      <c r="A2" t="inlineStr">
        <is>
          <t>A000</t>
        </is>
      </c>
      <c r="B2" t="inlineStr">
        <is>
          <t>Frame Subdivision Homeowners Association</t>
        </is>
      </c>
      <c r="C2" t="inlineStr">
        <is>
          <t>Community Facilities and Services</t>
        </is>
      </c>
    </row>
    <row r="3">
      <c r="A3" t="inlineStr">
        <is>
          <t>A010</t>
        </is>
      </c>
      <c r="B3" t="inlineStr">
        <is>
          <t>Haliburton Highbury Homeowners Association</t>
        </is>
      </c>
      <c r="C3" t="inlineStr">
        <is>
          <t>Community Facilities and Services</t>
        </is>
      </c>
    </row>
    <row r="4">
      <c r="A4" t="inlineStr">
        <is>
          <t>A020</t>
        </is>
      </c>
      <c r="B4" t="inlineStr">
        <is>
          <t>Silversides Residents Association</t>
        </is>
      </c>
      <c r="C4" t="inlineStr">
        <is>
          <t>Community Facilities and Services</t>
        </is>
      </c>
    </row>
    <row r="5">
      <c r="A5" t="inlineStr">
        <is>
          <t>A030</t>
        </is>
      </c>
      <c r="B5" t="inlineStr">
        <is>
          <t>Highland Park Rate Payers Association</t>
        </is>
      </c>
      <c r="C5" t="inlineStr">
        <is>
          <t>Community Facilities and Services</t>
        </is>
      </c>
    </row>
    <row r="6">
      <c r="A6" t="inlineStr">
        <is>
          <t>A040</t>
        </is>
      </c>
      <c r="B6" t="inlineStr">
        <is>
          <t>Kingswood Ratepayers Association</t>
        </is>
      </c>
      <c r="C6" t="inlineStr">
        <is>
          <t>Community Facilities and Services</t>
        </is>
      </c>
    </row>
    <row r="7">
      <c r="A7" t="inlineStr">
        <is>
          <t>A050</t>
        </is>
      </c>
      <c r="B7" t="inlineStr">
        <is>
          <t>Lakeview/Windsor Junction/Fall River Recreation</t>
        </is>
      </c>
      <c r="C7" t="inlineStr">
        <is>
          <t>Community Facilities and Services</t>
        </is>
      </c>
    </row>
    <row r="8">
      <c r="A8" t="inlineStr">
        <is>
          <t>A070</t>
        </is>
      </c>
      <c r="B8" t="inlineStr">
        <is>
          <t>Mineville Community Association</t>
        </is>
      </c>
      <c r="C8" t="inlineStr">
        <is>
          <t>Community Facilities and Services</t>
        </is>
      </c>
    </row>
    <row r="9">
      <c r="A9" t="inlineStr">
        <is>
          <t>A080</t>
        </is>
      </c>
      <c r="B9" t="inlineStr">
        <is>
          <t>Musquodoboit Harbour Common Rate</t>
        </is>
      </c>
      <c r="C9" t="inlineStr">
        <is>
          <t>Community Facilities and Services</t>
        </is>
      </c>
    </row>
    <row r="10">
      <c r="A10" t="inlineStr">
        <is>
          <t>A090</t>
        </is>
      </c>
      <c r="B10" t="inlineStr">
        <is>
          <t>Prospect Road Recreation Association</t>
        </is>
      </c>
      <c r="C10" t="inlineStr">
        <is>
          <t>Community Facilities and Services</t>
        </is>
      </c>
    </row>
    <row r="11">
      <c r="A11" t="inlineStr">
        <is>
          <t>A100</t>
        </is>
      </c>
      <c r="B11" t="inlineStr">
        <is>
          <t>Sackville Heights Community Recreation Centre</t>
        </is>
      </c>
      <c r="C11" t="inlineStr">
        <is>
          <t>Community Facilities and Services</t>
        </is>
      </c>
    </row>
    <row r="12">
      <c r="A12" t="inlineStr">
        <is>
          <t>A110</t>
        </is>
      </c>
      <c r="B12" t="inlineStr">
        <is>
          <t>Fox Hollow Homeowners Association</t>
        </is>
      </c>
      <c r="C12" t="inlineStr">
        <is>
          <t>Community Facilities and Services</t>
        </is>
      </c>
    </row>
    <row r="13">
      <c r="A13" t="inlineStr">
        <is>
          <t>A120</t>
        </is>
      </c>
      <c r="B13" t="inlineStr">
        <is>
          <t>Glen Arbour Homeowners Association</t>
        </is>
      </c>
      <c r="C13" t="inlineStr">
        <is>
          <t>Community Facilities and Services</t>
        </is>
      </c>
    </row>
    <row r="14">
      <c r="A14" t="inlineStr">
        <is>
          <t>A130</t>
        </is>
      </c>
      <c r="B14" t="inlineStr">
        <is>
          <t>Three Brooks Homeowners Association</t>
        </is>
      </c>
      <c r="C14" t="inlineStr">
        <is>
          <t>Community Facilities and Services</t>
        </is>
      </c>
    </row>
    <row r="15">
      <c r="A15" t="inlineStr">
        <is>
          <t>A140</t>
        </is>
      </c>
      <c r="B15" t="inlineStr">
        <is>
          <t>Westwood Hills Residents Assocaition</t>
        </is>
      </c>
      <c r="C15" t="inlineStr">
        <is>
          <t>Community Facilities and Services</t>
        </is>
      </c>
    </row>
    <row r="16">
      <c r="A16" t="inlineStr">
        <is>
          <t>A160</t>
        </is>
      </c>
      <c r="B16" t="inlineStr">
        <is>
          <t>Grand Lake/Oakfield Community Centre</t>
        </is>
      </c>
      <c r="C16" t="inlineStr">
        <is>
          <t>Community Facilities and Services</t>
        </is>
      </c>
    </row>
    <row r="17">
      <c r="A17" t="inlineStr">
        <is>
          <t>A170</t>
        </is>
      </c>
      <c r="B17" t="inlineStr">
        <is>
          <t>Ketch Harbour Residents Association</t>
        </is>
      </c>
      <c r="C17" t="inlineStr">
        <is>
          <t>Community Facilities and Services</t>
        </is>
      </c>
    </row>
    <row r="18">
      <c r="A18" t="inlineStr">
        <is>
          <t>A180</t>
        </is>
      </c>
      <c r="B18" t="inlineStr">
        <is>
          <t>SHSS Tier 1</t>
        </is>
      </c>
      <c r="C18" t="inlineStr">
        <is>
          <t>Community Facilities and Services</t>
        </is>
      </c>
    </row>
    <row r="19">
      <c r="A19" t="inlineStr">
        <is>
          <t>A190</t>
        </is>
      </c>
      <c r="B19" t="inlineStr">
        <is>
          <t>SHSS Tier 2</t>
        </is>
      </c>
      <c r="C19" t="inlineStr">
        <is>
          <t>Community Facilities and Services</t>
        </is>
      </c>
    </row>
    <row r="20">
      <c r="A20" t="inlineStr">
        <is>
          <t>A200</t>
        </is>
      </c>
      <c r="B20" t="inlineStr">
        <is>
          <t>SHSS Tier 3</t>
        </is>
      </c>
      <c r="C20" t="inlineStr">
        <is>
          <t>Community Facilities and Services</t>
        </is>
      </c>
    </row>
    <row r="21">
      <c r="A21" t="inlineStr">
        <is>
          <t>A210</t>
        </is>
      </c>
      <c r="B21" t="inlineStr">
        <is>
          <t>Waverley Community Association Rate</t>
        </is>
      </c>
      <c r="C21" t="inlineStr">
        <is>
          <t>Community Facilities and Services</t>
        </is>
      </c>
    </row>
    <row r="22">
      <c r="A22" t="inlineStr">
        <is>
          <t>M050</t>
        </is>
      </c>
      <c r="B22" t="inlineStr">
        <is>
          <t>Fire Protection</t>
        </is>
      </c>
      <c r="C22" t="inlineStr">
        <is>
          <t>Fire Protection</t>
        </is>
      </c>
    </row>
    <row r="23">
      <c r="A23" t="inlineStr">
        <is>
          <t>M060</t>
        </is>
      </c>
      <c r="B23" t="inlineStr">
        <is>
          <t>2025 Local Transit</t>
        </is>
      </c>
      <c r="C23" t="inlineStr">
        <is>
          <t>Transit</t>
        </is>
      </c>
    </row>
    <row r="24">
      <c r="A24" t="inlineStr">
        <is>
          <t>M070</t>
        </is>
      </c>
      <c r="B24" t="inlineStr">
        <is>
          <t>REGIONAL TRANSPORTATION</t>
        </is>
      </c>
      <c r="C24" t="inlineStr">
        <is>
          <t>Transportation</t>
        </is>
      </c>
    </row>
    <row r="25">
      <c r="A25" t="inlineStr">
        <is>
          <t>R000</t>
        </is>
      </c>
      <c r="B25" t="inlineStr">
        <is>
          <t>Petpeswick Drive $300 Flat Fee</t>
        </is>
      </c>
      <c r="C25" t="inlineStr">
        <is>
          <t>Private Road</t>
        </is>
      </c>
    </row>
    <row r="26">
      <c r="A26" t="inlineStr">
        <is>
          <t>R010</t>
        </is>
      </c>
      <c r="B26" t="inlineStr">
        <is>
          <t>Three Brooks Homeowners Association</t>
        </is>
      </c>
      <c r="C26" t="inlineStr">
        <is>
          <t>Private Road</t>
        </is>
      </c>
    </row>
    <row r="27">
      <c r="A27" t="inlineStr">
        <is>
          <t>R020</t>
        </is>
      </c>
      <c r="B27" t="inlineStr">
        <is>
          <t>Southwest Grand Lake Private Road Fee</t>
        </is>
      </c>
      <c r="C27" t="inlineStr">
        <is>
          <t>Private Road</t>
        </is>
      </c>
    </row>
    <row r="28">
      <c r="A28" t="inlineStr">
        <is>
          <t>R030</t>
        </is>
      </c>
      <c r="B28" t="inlineStr">
        <is>
          <t>Southwest Grand Lake Private Road Fee</t>
        </is>
      </c>
      <c r="C28" t="inlineStr">
        <is>
          <t>Private Road</t>
        </is>
      </c>
    </row>
    <row r="29">
      <c r="A29" t="inlineStr">
        <is>
          <t>R040</t>
        </is>
      </c>
      <c r="B29" t="inlineStr">
        <is>
          <t>Southwest Grand Lake Private Road Fee</t>
        </is>
      </c>
      <c r="C29" t="inlineStr">
        <is>
          <t>Private Road</t>
        </is>
      </c>
    </row>
    <row r="30">
      <c r="A30" t="inlineStr">
        <is>
          <t>R050</t>
        </is>
      </c>
      <c r="B30" t="inlineStr">
        <is>
          <t>Southwest Grand Lake Private Road Fee</t>
        </is>
      </c>
      <c r="C30" t="inlineStr">
        <is>
          <t>Private Road</t>
        </is>
      </c>
    </row>
    <row r="31">
      <c r="A31" t="inlineStr">
        <is>
          <t>R060</t>
        </is>
      </c>
      <c r="B31" t="inlineStr">
        <is>
          <t>River Bend Rd &amp; River Court Homeowners Association</t>
        </is>
      </c>
      <c r="C31" t="inlineStr">
        <is>
          <t>Private Road</t>
        </is>
      </c>
    </row>
    <row r="32">
      <c r="A32" t="inlineStr">
        <is>
          <t>R070</t>
        </is>
      </c>
      <c r="B32" t="inlineStr">
        <is>
          <t>Range Rd Private Road Maintenance</t>
        </is>
      </c>
      <c r="C32" t="inlineStr">
        <is>
          <t>Private Road</t>
        </is>
      </c>
    </row>
    <row r="33">
      <c r="A33" t="inlineStr">
        <is>
          <t>R080</t>
        </is>
      </c>
      <c r="B33" t="inlineStr">
        <is>
          <t>Rutter Court Residents Association</t>
        </is>
      </c>
      <c r="C33" t="inlineStr">
        <is>
          <t>Private Road</t>
        </is>
      </c>
    </row>
    <row r="34">
      <c r="A34" t="inlineStr">
        <is>
          <t>R090</t>
        </is>
      </c>
      <c r="B34" t="inlineStr">
        <is>
          <t>Sambro Head Lot Owners Association:Bald Rock Rd</t>
        </is>
      </c>
      <c r="C34" t="inlineStr">
        <is>
          <t>Private Road</t>
        </is>
      </c>
    </row>
    <row r="35">
      <c r="A35" t="inlineStr">
        <is>
          <t>R100</t>
        </is>
      </c>
      <c r="B35" t="inlineStr">
        <is>
          <t>St. Margaret's Village Community Association</t>
        </is>
      </c>
      <c r="C35" t="inlineStr">
        <is>
          <t>Private Road</t>
        </is>
      </c>
    </row>
    <row r="36">
      <c r="A36" t="inlineStr">
        <is>
          <t>R110</t>
        </is>
      </c>
      <c r="B36" t="inlineStr">
        <is>
          <t>Blacks Subdivision Ratepayers Association</t>
        </is>
      </c>
      <c r="C36" t="inlineStr">
        <is>
          <t>Private Road</t>
        </is>
      </c>
    </row>
    <row r="37">
      <c r="A37" t="inlineStr">
        <is>
          <t>R120</t>
        </is>
      </c>
      <c r="B37" t="inlineStr">
        <is>
          <t>Redoubt Head Homeowners Association</t>
        </is>
      </c>
      <c r="C37" t="inlineStr">
        <is>
          <t>Private Road</t>
        </is>
      </c>
    </row>
    <row r="38">
      <c r="A38" t="inlineStr">
        <is>
          <t>R130</t>
        </is>
      </c>
      <c r="B38" t="inlineStr">
        <is>
          <t>Mariners Anchorage Residents Association</t>
        </is>
      </c>
      <c r="C38" t="inlineStr">
        <is>
          <t>Private Road</t>
        </is>
      </c>
    </row>
    <row r="39">
      <c r="A39" t="inlineStr">
        <is>
          <t>R140</t>
        </is>
      </c>
      <c r="B39" t="inlineStr">
        <is>
          <t>St Margaret's Bay Heights Subdivision</t>
        </is>
      </c>
      <c r="C39" t="inlineStr">
        <is>
          <t>Private Road</t>
        </is>
      </c>
    </row>
    <row r="40">
      <c r="A40" t="inlineStr">
        <is>
          <t>R150</t>
        </is>
      </c>
      <c r="B40" t="inlineStr">
        <is>
          <t>Shiloh and Karla Drive Road Association</t>
        </is>
      </c>
      <c r="C40" t="inlineStr">
        <is>
          <t>Private Road</t>
        </is>
      </c>
    </row>
    <row r="41">
      <c r="A41" t="inlineStr">
        <is>
          <t>R160</t>
        </is>
      </c>
      <c r="B41" t="inlineStr">
        <is>
          <t>Kelly Point Private Road</t>
        </is>
      </c>
      <c r="C41" t="inlineStr">
        <is>
          <t>Private Road</t>
        </is>
      </c>
    </row>
    <row r="42">
      <c r="A42" t="inlineStr">
        <is>
          <t>R170</t>
        </is>
      </c>
      <c r="B42" t="inlineStr">
        <is>
          <t>Jenna Lane Private Road Fee</t>
        </is>
      </c>
      <c r="C42" t="inlineStr">
        <is>
          <t>Private Road</t>
        </is>
      </c>
    </row>
    <row r="43">
      <c r="A43" t="inlineStr">
        <is>
          <t>R180</t>
        </is>
      </c>
      <c r="B43" t="inlineStr">
        <is>
          <t>Bayview Homeowners Society</t>
        </is>
      </c>
      <c r="C43" t="inlineStr">
        <is>
          <t>Private Road</t>
        </is>
      </c>
    </row>
    <row r="44">
      <c r="A44" t="inlineStr">
        <is>
          <t>R190</t>
        </is>
      </c>
      <c r="B44" t="inlineStr">
        <is>
          <t>Cambrian's Cove Homeowners Association</t>
        </is>
      </c>
      <c r="C44" t="inlineStr">
        <is>
          <t>Private Road</t>
        </is>
      </c>
    </row>
    <row r="45">
      <c r="A45" t="inlineStr">
        <is>
          <t>R200</t>
        </is>
      </c>
      <c r="B45" t="inlineStr">
        <is>
          <t>Shag End Lot Owners Association</t>
        </is>
      </c>
      <c r="C45" t="inlineStr">
        <is>
          <t>Private Road</t>
        </is>
      </c>
    </row>
    <row r="46">
      <c r="A46" t="inlineStr">
        <is>
          <t>R210</t>
        </is>
      </c>
      <c r="B46" t="inlineStr">
        <is>
          <t>Blacks Subdivision Ratepayers Association</t>
        </is>
      </c>
      <c r="C46" t="inlineStr">
        <is>
          <t>Private Road</t>
        </is>
      </c>
    </row>
    <row r="47">
      <c r="A47" t="inlineStr">
        <is>
          <t>R220</t>
        </is>
      </c>
      <c r="B47" t="inlineStr">
        <is>
          <t>Gill Cove Road Private Road Maintenance</t>
        </is>
      </c>
      <c r="C47" t="inlineStr">
        <is>
          <t>Private Road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2026-07-13T00:00:00Z</dcterms:created>
  <dcterms:modified xmlns:dcterms="http://purl.org/dc/terms/" xmlns:xsi="http://www.w3.org/2001/XMLSchema-instance" xsi:type="dcterms:W3CDTF">2026-07-13T00:00:00Z</dcterms:modified>
</cp:coreProperties>
</file>